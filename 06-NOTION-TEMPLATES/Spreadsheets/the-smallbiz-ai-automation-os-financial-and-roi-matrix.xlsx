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Executive_ROI_Command" sheetId="1" state="visible" r:id="rId1"/>
    <sheet xmlns:r="http://schemas.openxmlformats.org/officeDocument/2006/relationships" name="02_5Day_Time_Task_Audit" sheetId="2" state="visible" r:id="rId2"/>
    <sheet xmlns:r="http://schemas.openxmlformats.org/officeDocument/2006/relationships" name="03_Speed_To_Lead_Model" sheetId="3" state="visible" r:id="rId3"/>
    <sheet xmlns:r="http://schemas.openxmlformats.org/officeDocument/2006/relationships" name="04_Quote_And_Nurture_ROI" sheetId="4" state="visible" r:id="rId4"/>
    <sheet xmlns:r="http://schemas.openxmlformats.org/officeDocument/2006/relationships" name="05_Support_And_Retention" sheetId="5" state="visible" r:id="rId5"/>
    <sheet xmlns:r="http://schemas.openxmlformats.org/officeDocument/2006/relationships" name="06_Invoicing_And_DSO_Cash" sheetId="6" state="visible" r:id="rId6"/>
    <sheet xmlns:r="http://schemas.openxmlformats.org/officeDocument/2006/relationships" name="07_Friday_Owner_Scorecard" sheetId="7" state="visible" r:id="rId7"/>
    <sheet xmlns:r="http://schemas.openxmlformats.org/officeDocument/2006/relationships" name="08_90Day_Rollout_And_To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.00"/>
    <numFmt numFmtId="166" formatCode="0.0"/>
    <numFmt numFmtId="167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CBD5E1"/>
      <sz val="10"/>
    </font>
    <font>
      <name val="Calibri"/>
      <b val="1"/>
      <color rgb="00FFFFFF"/>
      <sz val="10.5"/>
    </font>
    <font>
      <name val="Calibri"/>
      <color rgb="001E293B"/>
      <sz val="10"/>
    </font>
    <font>
      <name val="Calibr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59669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164" fontId="4" fillId="4" borderId="1" pivotButton="0" quotePrefix="0" xfId="0"/>
    <xf numFmtId="9" fontId="4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9" fontId="4" fillId="0" borderId="1" pivotButton="0" quotePrefix="0" xfId="0"/>
    <xf numFmtId="0" fontId="5" fillId="0" borderId="1" pivotButton="0" quotePrefix="0" xfId="0"/>
    <xf numFmtId="165" fontId="5" fillId="0" borderId="1" pivotButton="0" quotePrefix="0" xfId="0"/>
    <xf numFmtId="164" fontId="5" fillId="0" borderId="1" pivotButton="0" quotePrefix="0" xfId="0"/>
    <xf numFmtId="9" fontId="5" fillId="0" borderId="1" pivotButton="0" quotePrefix="0" xfId="0"/>
    <xf numFmtId="2" fontId="4" fillId="4" borderId="1" pivotButton="0" quotePrefix="0" xfId="0"/>
    <xf numFmtId="166" fontId="4" fillId="4" borderId="1" pivotButton="0" quotePrefix="0" xfId="0"/>
    <xf numFmtId="2" fontId="4" fillId="0" borderId="1" pivotButton="0" quotePrefix="0" xfId="0"/>
    <xf numFmtId="166" fontId="4" fillId="0" borderId="1" pivotButton="0" quotePrefix="0" xfId="0"/>
    <xf numFmtId="2" fontId="5" fillId="0" borderId="1" pivotButton="0" quotePrefix="0" xfId="0"/>
    <xf numFmtId="166" fontId="5" fillId="0" borderId="1" pivotButton="0" quotePrefix="0" xfId="0"/>
    <xf numFmtId="167" fontId="4" fillId="4" borderId="1" pivotButton="0" quotePrefix="0" xfId="0"/>
    <xf numFmtId="167" fontId="4" fillId="0" borderId="1" pivotButton="0" quotePrefix="0" xfId="0"/>
    <xf numFmtId="167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5-Department Annual Manual Friction vs. Net Automation Recovery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'01_Executive_ROI_Command'!G4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'01_Executive_ROI_Command'!$B$5:$B$9</f>
            </numRef>
          </cat>
          <val>
            <numRef>
              <f>'01_Executive_ROI_Command'!$G$5:$G$9</f>
            </numRef>
          </val>
        </ser>
        <ser>
          <idx val="1"/>
          <order val="1"/>
          <tx>
            <strRef>
              <f>'01_Executive_ROI_Command'!H4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'01_Executive_ROI_Command'!$B$5:$B$9</f>
            </numRef>
          </cat>
          <val>
            <numRef>
              <f>'01_Executive_ROI_Command'!$H$5:$H$9</f>
            </numRef>
          </val>
        </ser>
        <ser>
          <idx val="2"/>
          <order val="2"/>
          <tx>
            <strRef>
              <f>'01_Executive_ROI_Command'!I4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'01_Executive_ROI_Command'!$B$5:$B$9</f>
            </numRef>
          </cat>
          <val>
            <numRef>
              <f>'01_Executive_ROI_Command'!$I$5:$I$9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USD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12-Month Speed-to-Lead Revenue: Baseline vs. 60-Second Router ($)</a:t>
            </a:r>
          </a:p>
        </rich>
      </tx>
    </title>
    <plotArea>
      <lineChart>
        <grouping val="standard"/>
        <ser>
          <idx val="0"/>
          <order val="0"/>
          <tx>
            <strRef>
              <f>'03_Speed_To_Lead_Model'!H4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'03_Speed_To_Lead_Model'!$A$5:$A$16</f>
            </numRef>
          </cat>
          <val>
            <numRef>
              <f>'03_Speed_To_Lead_Model'!$H$5:$H$16</f>
            </numRef>
          </val>
        </ser>
        <ser>
          <idx val="1"/>
          <order val="1"/>
          <tx>
            <strRef>
              <f>'03_Speed_To_Lead_Model'!I4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'03_Speed_To_Lead_Model'!$A$5:$A$16</f>
            </numRef>
          </cat>
          <val>
            <numRef>
              <f>'03_Speed_To_Lead_Model'!$I$5:$I$16</f>
            </numRef>
          </val>
        </ser>
        <ser>
          <idx val="2"/>
          <order val="2"/>
          <tx>
            <strRef>
              <f>'03_Speed_To_Lead_Model'!J4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'03_Speed_To_Lead_Model'!$A$5:$A$16</f>
            </numRef>
          </cat>
          <val>
            <numRef>
              <f>'03_Speed_To_Lead_Model'!$J$5:$J$16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Monthly 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16-Week Friday Scorecard Trend: Weekly Cash Collected ($) &amp; Overdue AR ($)</a:t>
            </a:r>
          </a:p>
        </rich>
      </tx>
    </title>
    <plotArea>
      <lineChart>
        <grouping val="standard"/>
        <ser>
          <idx val="0"/>
          <order val="0"/>
          <tx>
            <strRef>
              <f>'07_Friday_Owner_Scorecard'!G4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'07_Friday_Owner_Scorecard'!$A$5:$A$20</f>
            </numRef>
          </cat>
          <val>
            <numRef>
              <f>'07_Friday_Owner_Scorecard'!$G$5:$G$20</f>
            </numRef>
          </val>
        </ser>
        <ser>
          <idx val="1"/>
          <order val="1"/>
          <tx>
            <strRef>
              <f>'07_Friday_Owner_Scorecard'!H4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'07_Friday_Owner_Scorecard'!$A$5:$A$20</f>
            </numRef>
          </cat>
          <val>
            <numRef>
              <f>'07_Friday_Owner_Scorecard'!$H$5:$H$20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Scorecard 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90-Day Rollout: Cumulative Net Financial Return Across 12 Weeks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'08_90Day_Rollout_And_Tools'!I4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'08_90Day_Rollout_And_Tools'!$A$5:$A$16</f>
            </numRef>
          </cat>
          <val>
            <numRef>
              <f>'08_90Day_Rollout_And_Tools'!$I$5:$I$16</f>
            </numRef>
          </val>
        </ser>
        <ser>
          <idx val="1"/>
          <order val="1"/>
          <tx>
            <strRef>
              <f>'08_90Day_Rollout_And_Tools'!J4</f>
            </strRef>
          </tx>
          <spPr>
            <a:ln xmlns:a="http://schemas.openxmlformats.org/drawingml/2006/main">
              <a:prstDash val="solid"/>
            </a:ln>
          </spPr>
          <cat>
            <numRef>
              <f>'08_90Day_Rollout_And_Tools'!$A$5:$A$16</f>
            </numRef>
          </cat>
          <val>
            <numRef>
              <f>'08_90Day_Rollout_And_Tools'!$J$5:$J$16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Rollout 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Net ROI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21" customWidth="1" min="3" max="3"/>
    <col width="27" customWidth="1" min="4" max="4"/>
    <col width="26" customWidth="1" min="5" max="5"/>
    <col width="29" customWidth="1" min="6" max="6"/>
    <col width="24" customWidth="1" min="7" max="7"/>
    <col width="24" customWidth="1" min="8" max="8"/>
    <col width="27" customWidth="1" min="9" max="9"/>
    <col width="25" customWidth="1" min="10" max="10"/>
    <col width="22" customWidth="1" min="11" max="11"/>
  </cols>
  <sheetData>
    <row r="1" ht="24" customHeight="1">
      <c r="A1" s="1" t="inlineStr">
        <is>
          <t>TAB 01: EXECUTIVE 5-DEPARTMENT COST OF MANUAL FRICTION (CMF) &amp; NET ROI COMMAND CENTER</t>
        </is>
      </c>
    </row>
    <row r="2" ht="18" customHeight="1">
      <c r="A2" s="2" t="inlineStr">
        <is>
          <t>Master Financial Rollup Across All 5 Small Business Departments — Live Formulas &amp; Visual Bar Chart</t>
        </is>
      </c>
    </row>
    <row r="4" ht="24" customHeight="1">
      <c r="A4" s="3" t="inlineStr">
        <is>
          <t>Dept ID</t>
        </is>
      </c>
      <c r="B4" s="3" t="inlineStr">
        <is>
          <t>Department Name</t>
        </is>
      </c>
      <c r="C4" s="3" t="inlineStr">
        <is>
          <t>Weekly Manual Hrs</t>
        </is>
      </c>
      <c r="D4" s="3" t="inlineStr">
        <is>
          <t>Blended Hourly Rate ($)</t>
        </is>
      </c>
      <c r="E4" s="3" t="inlineStr">
        <is>
          <t>Annual Labor Waste ($)</t>
        </is>
      </c>
      <c r="F4" s="3" t="inlineStr">
        <is>
          <t>Annual Lead/Cash Leak ($)</t>
        </is>
      </c>
      <c r="G4" s="3" t="inlineStr">
        <is>
          <t>Total Annual CMF ($)</t>
        </is>
      </c>
      <c r="H4" s="3" t="inlineStr">
        <is>
          <t>Projected Recovery %</t>
        </is>
      </c>
      <c r="I4" s="3" t="inlineStr">
        <is>
          <t>Annual Net Recovery ($)</t>
        </is>
      </c>
      <c r="J4" s="3" t="inlineStr">
        <is>
          <t>Monthly Tool Cost ($)</t>
        </is>
      </c>
      <c r="K4" s="3" t="inlineStr">
        <is>
          <t>Annual Net ROI ($)</t>
        </is>
      </c>
    </row>
    <row r="5">
      <c r="A5" s="4" t="inlineStr">
        <is>
          <t>DEPT-01</t>
        </is>
      </c>
      <c r="B5" s="4" t="inlineStr">
        <is>
          <t>Lead Capture &amp; Speed-to-Lead</t>
        </is>
      </c>
      <c r="C5" s="4" t="n">
        <v>6.5</v>
      </c>
      <c r="D5" s="5" t="n">
        <v>58</v>
      </c>
      <c r="E5" s="5">
        <f>ROUND(C5*D5*52, 0)</f>
        <v/>
      </c>
      <c r="F5" s="5" t="n">
        <v>94800</v>
      </c>
      <c r="G5" s="5">
        <f>E5+F5</f>
        <v/>
      </c>
      <c r="H5" s="6" t="n">
        <v>0.7</v>
      </c>
      <c r="I5" s="5">
        <f>ROUND(G5*H5, 0)</f>
        <v/>
      </c>
      <c r="J5" s="5" t="n">
        <v>39</v>
      </c>
      <c r="K5" s="5">
        <f>I5-(J5*12)</f>
        <v/>
      </c>
    </row>
    <row r="6">
      <c r="A6" s="7" t="inlineStr">
        <is>
          <t>DEPT-02</t>
        </is>
      </c>
      <c r="B6" s="7" t="inlineStr">
        <is>
          <t>Sales Qualification &amp; 3-Option Quoting</t>
        </is>
      </c>
      <c r="C6" s="7" t="n">
        <v>5.5</v>
      </c>
      <c r="D6" s="8" t="n">
        <v>65</v>
      </c>
      <c r="E6" s="8">
        <f>ROUND(C6*D6*52, 0)</f>
        <v/>
      </c>
      <c r="F6" s="8" t="n">
        <v>62400</v>
      </c>
      <c r="G6" s="8">
        <f>E6+F6</f>
        <v/>
      </c>
      <c r="H6" s="9" t="n">
        <v>0.65</v>
      </c>
      <c r="I6" s="8">
        <f>ROUND(G6*H6, 0)</f>
        <v/>
      </c>
      <c r="J6" s="8" t="n">
        <v>29</v>
      </c>
      <c r="K6" s="8">
        <f>I6-(J6*12)</f>
        <v/>
      </c>
    </row>
    <row r="7">
      <c r="A7" s="4" t="inlineStr">
        <is>
          <t>DEPT-03</t>
        </is>
      </c>
      <c r="B7" s="4" t="inlineStr">
        <is>
          <t>Onboarding, Support &amp; 5-Star Reviews</t>
        </is>
      </c>
      <c r="C7" s="4" t="n">
        <v>7</v>
      </c>
      <c r="D7" s="5" t="n">
        <v>48</v>
      </c>
      <c r="E7" s="5">
        <f>ROUND(C7*D7*52, 0)</f>
        <v/>
      </c>
      <c r="F7" s="5" t="n">
        <v>38500</v>
      </c>
      <c r="G7" s="5">
        <f>E7+F7</f>
        <v/>
      </c>
      <c r="H7" s="6" t="n">
        <v>0.72</v>
      </c>
      <c r="I7" s="5">
        <f>ROUND(G7*H7, 0)</f>
        <v/>
      </c>
      <c r="J7" s="5" t="n">
        <v>35</v>
      </c>
      <c r="K7" s="5">
        <f>I7-(J7*12)</f>
        <v/>
      </c>
    </row>
    <row r="8">
      <c r="A8" s="7" t="inlineStr">
        <is>
          <t>DEPT-04</t>
        </is>
      </c>
      <c r="B8" s="7" t="inlineStr">
        <is>
          <t>Invoicing, 5-Stage AR Chasers &amp; AP OCR</t>
        </is>
      </c>
      <c r="C8" s="7" t="n">
        <v>4.5</v>
      </c>
      <c r="D8" s="8" t="n">
        <v>55</v>
      </c>
      <c r="E8" s="8">
        <f>ROUND(C8*D8*52, 0)</f>
        <v/>
      </c>
      <c r="F8" s="8" t="n">
        <v>29800</v>
      </c>
      <c r="G8" s="8">
        <f>E8+F8</f>
        <v/>
      </c>
      <c r="H8" s="9" t="n">
        <v>0.75</v>
      </c>
      <c r="I8" s="8">
        <f>ROUND(G8*H8, 0)</f>
        <v/>
      </c>
      <c r="J8" s="8" t="n">
        <v>25</v>
      </c>
      <c r="K8" s="8">
        <f>I8-(J8*12)</f>
        <v/>
      </c>
    </row>
    <row r="9">
      <c r="A9" s="4" t="inlineStr">
        <is>
          <t>DEPT-05</t>
        </is>
      </c>
      <c r="B9" s="4" t="inlineStr">
        <is>
          <t>Team SOPs, Delegation &amp; Friday Scorecard</t>
        </is>
      </c>
      <c r="C9" s="4" t="n">
        <v>3.5</v>
      </c>
      <c r="D9" s="5" t="n">
        <v>85</v>
      </c>
      <c r="E9" s="5">
        <f>ROUND(C9*D9*52, 0)</f>
        <v/>
      </c>
      <c r="F9" s="5" t="n">
        <v>18400</v>
      </c>
      <c r="G9" s="5">
        <f>E9+F9</f>
        <v/>
      </c>
      <c r="H9" s="6" t="n">
        <v>0.68</v>
      </c>
      <c r="I9" s="5">
        <f>ROUND(G9*H9, 0)</f>
        <v/>
      </c>
      <c r="J9" s="5" t="n">
        <v>19</v>
      </c>
      <c r="K9" s="5">
        <f>I9-(J9*12)</f>
        <v/>
      </c>
    </row>
    <row r="10">
      <c r="A10" s="10" t="inlineStr">
        <is>
          <t>TOTAL / SUMMARY</t>
        </is>
      </c>
      <c r="B10" s="10" t="inlineStr">
        <is>
          <t>All 5 Core Small Business Departments</t>
        </is>
      </c>
      <c r="C10" s="10">
        <f>SUM(C5:C9)</f>
        <v/>
      </c>
      <c r="D10" s="11">
        <f>ROUND(AVERAGE(D5:D9), 2)</f>
        <v/>
      </c>
      <c r="E10" s="12">
        <f>SUM(E5:E9)</f>
        <v/>
      </c>
      <c r="F10" s="12">
        <f>SUM(F5:F9)</f>
        <v/>
      </c>
      <c r="G10" s="12">
        <f>SUM(G5:G9)</f>
        <v/>
      </c>
      <c r="H10" s="13">
        <f>AVERAGE(H5:H9)</f>
        <v/>
      </c>
      <c r="I10" s="12">
        <f>SUM(I5:I9)</f>
        <v/>
      </c>
      <c r="J10" s="12">
        <f>SUM(J5:J9)</f>
        <v/>
      </c>
      <c r="K10" s="12">
        <f>SUM(K5:K9)</f>
        <v/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7" t="inlineStr">
        <is>
          <t>EXEC-KPI-1</t>
        </is>
      </c>
      <c r="B12" s="7" t="inlineStr">
        <is>
          <t>Annualized Hours Reclaimed Across Team</t>
        </is>
      </c>
      <c r="C12" s="7">
        <f>ROUND(C10*52*H10, 1)</f>
        <v/>
      </c>
      <c r="D12" s="7" t="n"/>
      <c r="E12" s="7" t="n"/>
      <c r="F12" s="7" t="n"/>
      <c r="G12" s="7" t="n"/>
      <c r="H12" s="7" t="n"/>
      <c r="I12" s="7" t="n"/>
      <c r="J12" s="7" t="n"/>
      <c r="K12" s="7" t="n"/>
    </row>
    <row r="13">
      <c r="A13" s="4" t="inlineStr">
        <is>
          <t>EXEC-KPI-2</t>
        </is>
      </c>
      <c r="B13" s="4" t="inlineStr">
        <is>
          <t>Full-Time Equivalent (FTE) Capacity Gained</t>
        </is>
      </c>
      <c r="C13" s="4">
        <f>ROUND((C10*52*H10)/2080, 2)</f>
        <v/>
      </c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7" t="inlineStr">
        <is>
          <t>EXEC-KPI-3</t>
        </is>
      </c>
      <c r="B14" s="7" t="inlineStr">
        <is>
          <t>Annual Tool-Stack Investment ($/yr)</t>
        </is>
      </c>
      <c r="C14" s="7">
        <f>J10*12</f>
        <v/>
      </c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4" t="inlineStr">
        <is>
          <t>EXEC-KPI-4</t>
        </is>
      </c>
      <c r="B15" s="4" t="inlineStr">
        <is>
          <t>Return on Automation Spend Multiple (x)</t>
        </is>
      </c>
      <c r="C15" s="4">
        <f>ROUND(I10/MAX(J10*12, 1), 1)</f>
        <v/>
      </c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7" t="inlineStr">
        <is>
          <t>EXEC-KPI-5</t>
        </is>
      </c>
      <c r="B16" s="7" t="inlineStr">
        <is>
          <t>Flagship OS Bundle ($59) Payback Period (Days)</t>
        </is>
      </c>
      <c r="C16" s="7">
        <f>ROUND((59/MAX(K10,1))*365, 2)</f>
        <v/>
      </c>
      <c r="D16" s="7" t="n"/>
      <c r="E16" s="7" t="n"/>
      <c r="F16" s="7" t="n"/>
      <c r="G16" s="7" t="n"/>
      <c r="H16" s="7" t="n"/>
      <c r="I16" s="7" t="n"/>
      <c r="J16" s="7" t="n"/>
      <c r="K16" s="7" t="n"/>
    </row>
  </sheetData>
  <mergeCells count="2">
    <mergeCell ref="A2:K2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8" customWidth="1" min="3" max="3"/>
    <col width="19" customWidth="1" min="4" max="4"/>
    <col width="19" customWidth="1" min="5" max="5"/>
    <col width="15" customWidth="1" min="6" max="6"/>
    <col width="21" customWidth="1" min="7" max="7"/>
    <col width="16" customWidth="1" min="8" max="8"/>
    <col width="16" customWidth="1" min="9" max="9"/>
    <col width="25" customWidth="1" min="10" max="10"/>
    <col width="25" customWidth="1" min="11" max="11"/>
    <col width="19" customWidth="1" min="12" max="12"/>
  </cols>
  <sheetData>
    <row r="1" ht="24" customHeight="1">
      <c r="A1" s="1" t="inlineStr">
        <is>
          <t>TAB 02: 5-DAY SMALL BUSINESS TIME &amp; MANUAL TASK FRICTION AUDIT (25 CORE TASKS)</t>
        </is>
      </c>
    </row>
    <row r="2" ht="18" customHeight="1">
      <c r="A2" s="2" t="inlineStr">
        <is>
          <t>Granular Task-Level Calculation of Weekly Hours, Annual Hours, Labor Waste &amp; P.A.C.E. Priority Score</t>
        </is>
      </c>
    </row>
    <row r="4" ht="24" customHeight="1">
      <c r="A4" s="3" t="inlineStr">
        <is>
          <t>Task ID</t>
        </is>
      </c>
      <c r="B4" s="3" t="inlineStr">
        <is>
          <t>Department</t>
        </is>
      </c>
      <c r="C4" s="3" t="inlineStr">
        <is>
          <t>Recurring Manual Task Description</t>
        </is>
      </c>
      <c r="D4" s="3" t="inlineStr">
        <is>
          <t>Role Performing</t>
        </is>
      </c>
      <c r="E4" s="3" t="inlineStr">
        <is>
          <t>Hourly Cost ($)</t>
        </is>
      </c>
      <c r="F4" s="3" t="inlineStr">
        <is>
          <t>Freq / Week</t>
        </is>
      </c>
      <c r="G4" s="3" t="inlineStr">
        <is>
          <t>Mins / Occurrence</t>
        </is>
      </c>
      <c r="H4" s="3" t="inlineStr">
        <is>
          <t>Weekly Hours</t>
        </is>
      </c>
      <c r="I4" s="3" t="inlineStr">
        <is>
          <t>Annual Hours</t>
        </is>
      </c>
      <c r="J4" s="3" t="inlineStr">
        <is>
          <t>Annual Labor Cost ($)</t>
        </is>
      </c>
      <c r="K4" s="3" t="inlineStr">
        <is>
          <t>P.A.C.E. Score (1-20)</t>
        </is>
      </c>
      <c r="L4" s="3" t="inlineStr">
        <is>
          <t>Governance Gate</t>
        </is>
      </c>
    </row>
    <row r="5">
      <c r="A5" s="4" t="inlineStr">
        <is>
          <t>T-01</t>
        </is>
      </c>
      <c r="B5" s="4" t="inlineStr">
        <is>
          <t>Dept 01</t>
        </is>
      </c>
      <c r="C5" s="4" t="inlineStr">
        <is>
          <t>Copy web form leads into CRM &amp; send intro email</t>
        </is>
      </c>
      <c r="D5" s="4" t="inlineStr">
        <is>
          <t>Front Desk</t>
        </is>
      </c>
      <c r="E5" s="5" t="n">
        <v>32</v>
      </c>
      <c r="F5" s="4" t="n">
        <v>35</v>
      </c>
      <c r="G5" s="4" t="n">
        <v>6</v>
      </c>
      <c r="H5" s="14">
        <f>ROUND((F5*G5)/60, 2)</f>
        <v/>
      </c>
      <c r="I5" s="15">
        <f>ROUND(H5*52, 1)</f>
        <v/>
      </c>
      <c r="J5" s="5">
        <f>ROUND(I5*E5, 0)</f>
        <v/>
      </c>
      <c r="K5" s="4" t="n">
        <v>19</v>
      </c>
      <c r="L5" s="4" t="inlineStr">
        <is>
          <t>GREEN</t>
        </is>
      </c>
    </row>
    <row r="6">
      <c r="A6" s="7" t="inlineStr">
        <is>
          <t>T-02</t>
        </is>
      </c>
      <c r="B6" s="7" t="inlineStr">
        <is>
          <t>Dept 01</t>
        </is>
      </c>
      <c r="C6" s="7" t="inlineStr">
        <is>
          <t>Return missed phone calls &amp; transcribe voicemails</t>
        </is>
      </c>
      <c r="D6" s="7" t="inlineStr">
        <is>
          <t>Front Desk</t>
        </is>
      </c>
      <c r="E6" s="8" t="n">
        <v>32</v>
      </c>
      <c r="F6" s="7" t="n">
        <v>28</v>
      </c>
      <c r="G6" s="7" t="n">
        <v>8</v>
      </c>
      <c r="H6" s="16">
        <f>ROUND((F6*G6)/60, 2)</f>
        <v/>
      </c>
      <c r="I6" s="17">
        <f>ROUND(H6*52, 1)</f>
        <v/>
      </c>
      <c r="J6" s="8">
        <f>ROUND(I6*E6, 0)</f>
        <v/>
      </c>
      <c r="K6" s="7" t="n">
        <v>20</v>
      </c>
      <c r="L6" s="7" t="inlineStr">
        <is>
          <t>GREEN</t>
        </is>
      </c>
    </row>
    <row r="7">
      <c r="A7" s="4" t="inlineStr">
        <is>
          <t>T-03</t>
        </is>
      </c>
      <c r="B7" s="4" t="inlineStr">
        <is>
          <t>Dept 01</t>
        </is>
      </c>
      <c r="C7" s="4" t="inlineStr">
        <is>
          <t>Reply to Facebook/IG &amp; Google Business messages</t>
        </is>
      </c>
      <c r="D7" s="4" t="inlineStr">
        <is>
          <t>Marketing Admin</t>
        </is>
      </c>
      <c r="E7" s="5" t="n">
        <v>38</v>
      </c>
      <c r="F7" s="4" t="n">
        <v>22</v>
      </c>
      <c r="G7" s="4" t="n">
        <v>7</v>
      </c>
      <c r="H7" s="14">
        <f>ROUND((F7*G7)/60, 2)</f>
        <v/>
      </c>
      <c r="I7" s="15">
        <f>ROUND(H7*52, 1)</f>
        <v/>
      </c>
      <c r="J7" s="5">
        <f>ROUND(I7*E7, 0)</f>
        <v/>
      </c>
      <c r="K7" s="4" t="n">
        <v>18</v>
      </c>
      <c r="L7" s="4" t="inlineStr">
        <is>
          <t>GREEN</t>
        </is>
      </c>
    </row>
    <row r="8">
      <c r="A8" s="7" t="inlineStr">
        <is>
          <t>T-04</t>
        </is>
      </c>
      <c r="B8" s="7" t="inlineStr">
        <is>
          <t>Dept 01</t>
        </is>
      </c>
      <c r="C8" s="7" t="inlineStr">
        <is>
          <t>Send calendar links &amp; chase appointment confirmations</t>
        </is>
      </c>
      <c r="D8" s="7" t="inlineStr">
        <is>
          <t>Front Desk</t>
        </is>
      </c>
      <c r="E8" s="8" t="n">
        <v>32</v>
      </c>
      <c r="F8" s="7" t="n">
        <v>30</v>
      </c>
      <c r="G8" s="7" t="n">
        <v>5</v>
      </c>
      <c r="H8" s="16">
        <f>ROUND((F8*G8)/60, 2)</f>
        <v/>
      </c>
      <c r="I8" s="17">
        <f>ROUND(H8*52, 1)</f>
        <v/>
      </c>
      <c r="J8" s="8">
        <f>ROUND(I8*E8, 0)</f>
        <v/>
      </c>
      <c r="K8" s="7" t="n">
        <v>18</v>
      </c>
      <c r="L8" s="7" t="inlineStr">
        <is>
          <t>GREEN</t>
        </is>
      </c>
    </row>
    <row r="9">
      <c r="A9" s="4" t="inlineStr">
        <is>
          <t>T-05</t>
        </is>
      </c>
      <c r="B9" s="4" t="inlineStr">
        <is>
          <t>Dept 01</t>
        </is>
      </c>
      <c r="C9" s="4" t="inlineStr">
        <is>
          <t>Research prospect company/address before sales call</t>
        </is>
      </c>
      <c r="D9" s="4" t="inlineStr">
        <is>
          <t>Sales Rep</t>
        </is>
      </c>
      <c r="E9" s="5" t="n">
        <v>58</v>
      </c>
      <c r="F9" s="4" t="n">
        <v>15</v>
      </c>
      <c r="G9" s="4" t="n">
        <v>12</v>
      </c>
      <c r="H9" s="14">
        <f>ROUND((F9*G9)/60, 2)</f>
        <v/>
      </c>
      <c r="I9" s="15">
        <f>ROUND(H9*52, 1)</f>
        <v/>
      </c>
      <c r="J9" s="5">
        <f>ROUND(I9*E9, 0)</f>
        <v/>
      </c>
      <c r="K9" s="4" t="n">
        <v>16</v>
      </c>
      <c r="L9" s="4" t="inlineStr">
        <is>
          <t>GREEN</t>
        </is>
      </c>
    </row>
    <row r="10">
      <c r="A10" s="7" t="inlineStr">
        <is>
          <t>T-06</t>
        </is>
      </c>
      <c r="B10" s="7" t="inlineStr">
        <is>
          <t>Dept 02</t>
        </is>
      </c>
      <c r="C10" s="7" t="inlineStr">
        <is>
          <t>Type post-visit notes into 3-option quote template</t>
        </is>
      </c>
      <c r="D10" s="7" t="inlineStr">
        <is>
          <t>Estimator</t>
        </is>
      </c>
      <c r="E10" s="8" t="n">
        <v>68</v>
      </c>
      <c r="F10" s="7" t="n">
        <v>14</v>
      </c>
      <c r="G10" s="7" t="n">
        <v>25</v>
      </c>
      <c r="H10" s="16">
        <f>ROUND((F10*G10)/60, 2)</f>
        <v/>
      </c>
      <c r="I10" s="17">
        <f>ROUND(H10*52, 1)</f>
        <v/>
      </c>
      <c r="J10" s="8">
        <f>ROUND(I10*E10, 0)</f>
        <v/>
      </c>
      <c r="K10" s="7" t="n">
        <v>20</v>
      </c>
      <c r="L10" s="7" t="inlineStr">
        <is>
          <t>AMBER</t>
        </is>
      </c>
    </row>
    <row r="11">
      <c r="A11" s="4" t="inlineStr">
        <is>
          <t>T-07</t>
        </is>
      </c>
      <c r="B11" s="4" t="inlineStr">
        <is>
          <t>Dept 02</t>
        </is>
      </c>
      <c r="C11" s="4" t="inlineStr">
        <is>
          <t>Look up SKU unit prices &amp; check margin thresholds</t>
        </is>
      </c>
      <c r="D11" s="4" t="inlineStr">
        <is>
          <t>Estimator</t>
        </is>
      </c>
      <c r="E11" s="5" t="n">
        <v>68</v>
      </c>
      <c r="F11" s="4" t="n">
        <v>14</v>
      </c>
      <c r="G11" s="4" t="n">
        <v>10</v>
      </c>
      <c r="H11" s="14">
        <f>ROUND((F11*G11)/60, 2)</f>
        <v/>
      </c>
      <c r="I11" s="15">
        <f>ROUND(H11*52, 1)</f>
        <v/>
      </c>
      <c r="J11" s="5">
        <f>ROUND(I11*E11, 0)</f>
        <v/>
      </c>
      <c r="K11" s="4" t="n">
        <v>18</v>
      </c>
      <c r="L11" s="4" t="inlineStr">
        <is>
          <t>AMBER</t>
        </is>
      </c>
    </row>
    <row r="12">
      <c r="A12" s="7" t="inlineStr">
        <is>
          <t>T-08</t>
        </is>
      </c>
      <c r="B12" s="7" t="inlineStr">
        <is>
          <t>Dept 02</t>
        </is>
      </c>
      <c r="C12" s="7" t="inlineStr">
        <is>
          <t>Send Day-2, Day-5, and Day-10 quote follow-up emails</t>
        </is>
      </c>
      <c r="D12" s="7" t="inlineStr">
        <is>
          <t>Sales Rep</t>
        </is>
      </c>
      <c r="E12" s="8" t="n">
        <v>58</v>
      </c>
      <c r="F12" s="7" t="n">
        <v>25</v>
      </c>
      <c r="G12" s="7" t="n">
        <v>6</v>
      </c>
      <c r="H12" s="16">
        <f>ROUND((F12*G12)/60, 2)</f>
        <v/>
      </c>
      <c r="I12" s="17">
        <f>ROUND(H12*52, 1)</f>
        <v/>
      </c>
      <c r="J12" s="8">
        <f>ROUND(I12*E12, 0)</f>
        <v/>
      </c>
      <c r="K12" s="7" t="n">
        <v>19</v>
      </c>
      <c r="L12" s="7" t="inlineStr">
        <is>
          <t>GREEN</t>
        </is>
      </c>
    </row>
    <row r="13">
      <c r="A13" s="4" t="inlineStr">
        <is>
          <t>T-09</t>
        </is>
      </c>
      <c r="B13" s="4" t="inlineStr">
        <is>
          <t>Dept 02</t>
        </is>
      </c>
      <c r="C13" s="4" t="inlineStr">
        <is>
          <t>Update CRM deal stages after client signs or declines</t>
        </is>
      </c>
      <c r="D13" s="4" t="inlineStr">
        <is>
          <t>Sales Admin</t>
        </is>
      </c>
      <c r="E13" s="5" t="n">
        <v>36</v>
      </c>
      <c r="F13" s="4" t="n">
        <v>18</v>
      </c>
      <c r="G13" s="4" t="n">
        <v>5</v>
      </c>
      <c r="H13" s="14">
        <f>ROUND((F13*G13)/60, 2)</f>
        <v/>
      </c>
      <c r="I13" s="15">
        <f>ROUND(H13*52, 1)</f>
        <v/>
      </c>
      <c r="J13" s="5">
        <f>ROUND(I13*E13, 0)</f>
        <v/>
      </c>
      <c r="K13" s="4" t="n">
        <v>15</v>
      </c>
      <c r="L13" s="4" t="inlineStr">
        <is>
          <t>GREEN</t>
        </is>
      </c>
    </row>
    <row r="14">
      <c r="A14" s="7" t="inlineStr">
        <is>
          <t>T-10</t>
        </is>
      </c>
      <c r="B14" s="7" t="inlineStr">
        <is>
          <t>Dept 02</t>
        </is>
      </c>
      <c r="C14" s="7" t="inlineStr">
        <is>
          <t>Re-engage 90-day closed-lost estimates for seasonal work</t>
        </is>
      </c>
      <c r="D14" s="7" t="inlineStr">
        <is>
          <t>Sales Rep</t>
        </is>
      </c>
      <c r="E14" s="8" t="n">
        <v>58</v>
      </c>
      <c r="F14" s="7" t="n">
        <v>10</v>
      </c>
      <c r="G14" s="7" t="n">
        <v>9</v>
      </c>
      <c r="H14" s="16">
        <f>ROUND((F14*G14)/60, 2)</f>
        <v/>
      </c>
      <c r="I14" s="17">
        <f>ROUND(H14*52, 1)</f>
        <v/>
      </c>
      <c r="J14" s="8">
        <f>ROUND(I14*E14, 0)</f>
        <v/>
      </c>
      <c r="K14" s="7" t="n">
        <v>15</v>
      </c>
      <c r="L14" s="7" t="inlineStr">
        <is>
          <t>GREEN</t>
        </is>
      </c>
    </row>
    <row r="15">
      <c r="A15" s="4" t="inlineStr">
        <is>
          <t>T-11</t>
        </is>
      </c>
      <c r="B15" s="4" t="inlineStr">
        <is>
          <t>Dept 03</t>
        </is>
      </c>
      <c r="C15" s="4" t="inlineStr">
        <is>
          <t>Create client Google Drive folder &amp; project board after payment</t>
        </is>
      </c>
      <c r="D15" s="4" t="inlineStr">
        <is>
          <t>Ops Coordinator</t>
        </is>
      </c>
      <c r="E15" s="5" t="n">
        <v>42</v>
      </c>
      <c r="F15" s="4" t="n">
        <v>10</v>
      </c>
      <c r="G15" s="4" t="n">
        <v>18</v>
      </c>
      <c r="H15" s="14">
        <f>ROUND((F15*G15)/60, 2)</f>
        <v/>
      </c>
      <c r="I15" s="15">
        <f>ROUND(H15*52, 1)</f>
        <v/>
      </c>
      <c r="J15" s="5">
        <f>ROUND(I15*E15, 0)</f>
        <v/>
      </c>
      <c r="K15" s="4" t="n">
        <v>19</v>
      </c>
      <c r="L15" s="4" t="inlineStr">
        <is>
          <t>GREEN</t>
        </is>
      </c>
    </row>
    <row r="16">
      <c r="A16" s="7" t="inlineStr">
        <is>
          <t>T-12</t>
        </is>
      </c>
      <c r="B16" s="7" t="inlineStr">
        <is>
          <t>Dept 03</t>
        </is>
      </c>
      <c r="C16" s="7" t="inlineStr">
        <is>
          <t>Send welcome packet &amp; custom intake questionnaire</t>
        </is>
      </c>
      <c r="D16" s="7" t="inlineStr">
        <is>
          <t>Ops Coordinator</t>
        </is>
      </c>
      <c r="E16" s="8" t="n">
        <v>42</v>
      </c>
      <c r="F16" s="7" t="n">
        <v>10</v>
      </c>
      <c r="G16" s="7" t="n">
        <v>12</v>
      </c>
      <c r="H16" s="16">
        <f>ROUND((F16*G16)/60, 2)</f>
        <v/>
      </c>
      <c r="I16" s="17">
        <f>ROUND(H16*52, 1)</f>
        <v/>
      </c>
      <c r="J16" s="8">
        <f>ROUND(I16*E16, 0)</f>
        <v/>
      </c>
      <c r="K16" s="7" t="n">
        <v>18</v>
      </c>
      <c r="L16" s="7" t="inlineStr">
        <is>
          <t>GREEN</t>
        </is>
      </c>
    </row>
    <row r="17">
      <c r="A17" s="4" t="inlineStr">
        <is>
          <t>T-13</t>
        </is>
      </c>
      <c r="B17" s="4" t="inlineStr">
        <is>
          <t>Dept 03</t>
        </is>
      </c>
      <c r="C17" s="4" t="inlineStr">
        <is>
          <t>Chase clients for missing onboarding documents/photos</t>
        </is>
      </c>
      <c r="D17" s="4" t="inlineStr">
        <is>
          <t>Ops Coordinator</t>
        </is>
      </c>
      <c r="E17" s="5" t="n">
        <v>42</v>
      </c>
      <c r="F17" s="4" t="n">
        <v>16</v>
      </c>
      <c r="G17" s="4" t="n">
        <v>10</v>
      </c>
      <c r="H17" s="14">
        <f>ROUND((F17*G17)/60, 2)</f>
        <v/>
      </c>
      <c r="I17" s="15">
        <f>ROUND(H17*52, 1)</f>
        <v/>
      </c>
      <c r="J17" s="5">
        <f>ROUND(I17*E17, 0)</f>
        <v/>
      </c>
      <c r="K17" s="4" t="n">
        <v>17</v>
      </c>
      <c r="L17" s="4" t="inlineStr">
        <is>
          <t>GREEN</t>
        </is>
      </c>
    </row>
    <row r="18">
      <c r="A18" s="7" t="inlineStr">
        <is>
          <t>T-14</t>
        </is>
      </c>
      <c r="B18" s="7" t="inlineStr">
        <is>
          <t>Dept 03</t>
        </is>
      </c>
      <c r="C18" s="7" t="inlineStr">
        <is>
          <t>Answer Tier-1 FAQ tickets (hours, WISMO, rescheduling)</t>
        </is>
      </c>
      <c r="D18" s="7" t="inlineStr">
        <is>
          <t>Support Rep</t>
        </is>
      </c>
      <c r="E18" s="8" t="n">
        <v>34</v>
      </c>
      <c r="F18" s="7" t="n">
        <v>45</v>
      </c>
      <c r="G18" s="7" t="n">
        <v>5</v>
      </c>
      <c r="H18" s="16">
        <f>ROUND((F18*G18)/60, 2)</f>
        <v/>
      </c>
      <c r="I18" s="17">
        <f>ROUND(H18*52, 1)</f>
        <v/>
      </c>
      <c r="J18" s="8">
        <f>ROUND(I18*E18, 0)</f>
        <v/>
      </c>
      <c r="K18" s="7" t="n">
        <v>20</v>
      </c>
      <c r="L18" s="7" t="inlineStr">
        <is>
          <t>GREEN</t>
        </is>
      </c>
    </row>
    <row r="19">
      <c r="A19" s="4" t="inlineStr">
        <is>
          <t>T-15</t>
        </is>
      </c>
      <c r="B19" s="4" t="inlineStr">
        <is>
          <t>Dept 03</t>
        </is>
      </c>
      <c r="C19" s="4" t="inlineStr">
        <is>
          <t>Triage angry/urgent customer complaints to manager</t>
        </is>
      </c>
      <c r="D19" s="4" t="inlineStr">
        <is>
          <t>Support Lead</t>
        </is>
      </c>
      <c r="E19" s="5" t="n">
        <v>48</v>
      </c>
      <c r="F19" s="4" t="n">
        <v>4</v>
      </c>
      <c r="G19" s="4" t="n">
        <v>20</v>
      </c>
      <c r="H19" s="14">
        <f>ROUND((F19*G19)/60, 2)</f>
        <v/>
      </c>
      <c r="I19" s="15">
        <f>ROUND(H19*52, 1)</f>
        <v/>
      </c>
      <c r="J19" s="5">
        <f>ROUND(I19*E19, 0)</f>
        <v/>
      </c>
      <c r="K19" s="4" t="n">
        <v>17</v>
      </c>
      <c r="L19" s="4" t="inlineStr">
        <is>
          <t>RED</t>
        </is>
      </c>
    </row>
    <row r="20">
      <c r="A20" s="7" t="inlineStr">
        <is>
          <t>T-16</t>
        </is>
      </c>
      <c r="B20" s="7" t="inlineStr">
        <is>
          <t>Dept 03</t>
        </is>
      </c>
      <c r="C20" s="7" t="inlineStr">
        <is>
          <t>Send post-service satisfaction check &amp; Google review link</t>
        </is>
      </c>
      <c r="D20" s="7" t="inlineStr">
        <is>
          <t>Front Desk</t>
        </is>
      </c>
      <c r="E20" s="8" t="n">
        <v>32</v>
      </c>
      <c r="F20" s="7" t="n">
        <v>22</v>
      </c>
      <c r="G20" s="7" t="n">
        <v>4</v>
      </c>
      <c r="H20" s="16">
        <f>ROUND((F20*G20)/60, 2)</f>
        <v/>
      </c>
      <c r="I20" s="17">
        <f>ROUND(H20*52, 1)</f>
        <v/>
      </c>
      <c r="J20" s="8">
        <f>ROUND(I20*E20, 0)</f>
        <v/>
      </c>
      <c r="K20" s="7" t="n">
        <v>19</v>
      </c>
      <c r="L20" s="7" t="inlineStr">
        <is>
          <t>GREEN</t>
        </is>
      </c>
    </row>
    <row r="21">
      <c r="A21" s="4" t="inlineStr">
        <is>
          <t>T-17</t>
        </is>
      </c>
      <c r="B21" s="4" t="inlineStr">
        <is>
          <t>Dept 03</t>
        </is>
      </c>
      <c r="C21" s="4" t="inlineStr">
        <is>
          <t>Draft SEO-friendly replies to public Google reviews</t>
        </is>
      </c>
      <c r="D21" s="4" t="inlineStr">
        <is>
          <t>Owner / Manager</t>
        </is>
      </c>
      <c r="E21" s="5" t="n">
        <v>85</v>
      </c>
      <c r="F21" s="4" t="n">
        <v>6</v>
      </c>
      <c r="G21" s="4" t="n">
        <v>10</v>
      </c>
      <c r="H21" s="14">
        <f>ROUND((F21*G21)/60, 2)</f>
        <v/>
      </c>
      <c r="I21" s="15">
        <f>ROUND(H21*52, 1)</f>
        <v/>
      </c>
      <c r="J21" s="5">
        <f>ROUND(I21*E21, 0)</f>
        <v/>
      </c>
      <c r="K21" s="4" t="n">
        <v>16</v>
      </c>
      <c r="L21" s="4" t="inlineStr">
        <is>
          <t>GREEN</t>
        </is>
      </c>
    </row>
    <row r="22">
      <c r="A22" s="7" t="inlineStr">
        <is>
          <t>T-18</t>
        </is>
      </c>
      <c r="B22" s="7" t="inlineStr">
        <is>
          <t>Dept 03</t>
        </is>
      </c>
      <c r="C22" s="7" t="inlineStr">
        <is>
          <t>Export 60/90/180-day dormant client list &amp; send recall</t>
        </is>
      </c>
      <c r="D22" s="7" t="inlineStr">
        <is>
          <t>Marketing Admin</t>
        </is>
      </c>
      <c r="E22" s="8" t="n">
        <v>38</v>
      </c>
      <c r="F22" s="7" t="n">
        <v>8</v>
      </c>
      <c r="G22" s="7" t="n">
        <v>15</v>
      </c>
      <c r="H22" s="16">
        <f>ROUND((F22*G22)/60, 2)</f>
        <v/>
      </c>
      <c r="I22" s="17">
        <f>ROUND(H22*52, 1)</f>
        <v/>
      </c>
      <c r="J22" s="8">
        <f>ROUND(I22*E22, 0)</f>
        <v/>
      </c>
      <c r="K22" s="7" t="n">
        <v>17</v>
      </c>
      <c r="L22" s="7" t="inlineStr">
        <is>
          <t>GREEN</t>
        </is>
      </c>
    </row>
    <row r="23">
      <c r="A23" s="4" t="inlineStr">
        <is>
          <t>T-19</t>
        </is>
      </c>
      <c r="B23" s="4" t="inlineStr">
        <is>
          <t>Dept 04</t>
        </is>
      </c>
      <c r="C23" s="4" t="inlineStr">
        <is>
          <t>Convert technician/project completion notes into invoice</t>
        </is>
      </c>
      <c r="D23" s="4" t="inlineStr">
        <is>
          <t>Billing Clerk</t>
        </is>
      </c>
      <c r="E23" s="5" t="n">
        <v>40</v>
      </c>
      <c r="F23" s="4" t="n">
        <v>20</v>
      </c>
      <c r="G23" s="4" t="n">
        <v>12</v>
      </c>
      <c r="H23" s="14">
        <f>ROUND((F23*G23)/60, 2)</f>
        <v/>
      </c>
      <c r="I23" s="15">
        <f>ROUND(H23*52, 1)</f>
        <v/>
      </c>
      <c r="J23" s="5">
        <f>ROUND(I23*E23, 0)</f>
        <v/>
      </c>
      <c r="K23" s="4" t="n">
        <v>19</v>
      </c>
      <c r="L23" s="4" t="inlineStr">
        <is>
          <t>GREEN</t>
        </is>
      </c>
    </row>
    <row r="24">
      <c r="A24" s="7" t="inlineStr">
        <is>
          <t>T-20</t>
        </is>
      </c>
      <c r="B24" s="7" t="inlineStr">
        <is>
          <t>Dept 04</t>
        </is>
      </c>
      <c r="C24" s="7" t="inlineStr">
        <is>
          <t>Check overdue invoices &amp; send polite payment reminders</t>
        </is>
      </c>
      <c r="D24" s="7" t="inlineStr">
        <is>
          <t>Billing Clerk</t>
        </is>
      </c>
      <c r="E24" s="8" t="n">
        <v>40</v>
      </c>
      <c r="F24" s="7" t="n">
        <v>18</v>
      </c>
      <c r="G24" s="7" t="n">
        <v>8</v>
      </c>
      <c r="H24" s="16">
        <f>ROUND((F24*G24)/60, 2)</f>
        <v/>
      </c>
      <c r="I24" s="17">
        <f>ROUND(H24*52, 1)</f>
        <v/>
      </c>
      <c r="J24" s="8">
        <f>ROUND(I24*E24, 0)</f>
        <v/>
      </c>
      <c r="K24" s="7" t="n">
        <v>19</v>
      </c>
      <c r="L24" s="7" t="inlineStr">
        <is>
          <t>AMBER</t>
        </is>
      </c>
    </row>
    <row r="25">
      <c r="A25" s="4" t="inlineStr">
        <is>
          <t>T-21</t>
        </is>
      </c>
      <c r="B25" s="4" t="inlineStr">
        <is>
          <t>Dept 04</t>
        </is>
      </c>
      <c r="C25" s="4" t="inlineStr">
        <is>
          <t>Key vendor receipts &amp; PDF bills into QuickBooks/Xero</t>
        </is>
      </c>
      <c r="D25" s="4" t="inlineStr">
        <is>
          <t>Bookkeeper</t>
        </is>
      </c>
      <c r="E25" s="5" t="n">
        <v>46</v>
      </c>
      <c r="F25" s="4" t="n">
        <v>30</v>
      </c>
      <c r="G25" s="4" t="n">
        <v>6</v>
      </c>
      <c r="H25" s="14">
        <f>ROUND((F25*G25)/60, 2)</f>
        <v/>
      </c>
      <c r="I25" s="15">
        <f>ROUND(H25*52, 1)</f>
        <v/>
      </c>
      <c r="J25" s="5">
        <f>ROUND(I25*E25, 0)</f>
        <v/>
      </c>
      <c r="K25" s="4" t="n">
        <v>18</v>
      </c>
      <c r="L25" s="4" t="inlineStr">
        <is>
          <t>GREEN</t>
        </is>
      </c>
    </row>
    <row r="26">
      <c r="A26" s="7" t="inlineStr">
        <is>
          <t>T-22</t>
        </is>
      </c>
      <c r="B26" s="7" t="inlineStr">
        <is>
          <t>Dept 04</t>
        </is>
      </c>
      <c r="C26" s="7" t="inlineStr">
        <is>
          <t>Compare supplier invoice unit prices against contract rates</t>
        </is>
      </c>
      <c r="D26" s="7" t="inlineStr">
        <is>
          <t>Owner / Manager</t>
        </is>
      </c>
      <c r="E26" s="8" t="n">
        <v>85</v>
      </c>
      <c r="F26" s="7" t="n">
        <v>8</v>
      </c>
      <c r="G26" s="7" t="n">
        <v>15</v>
      </c>
      <c r="H26" s="16">
        <f>ROUND((F26*G26)/60, 2)</f>
        <v/>
      </c>
      <c r="I26" s="17">
        <f>ROUND(H26*52, 1)</f>
        <v/>
      </c>
      <c r="J26" s="8">
        <f>ROUND(I26*E26, 0)</f>
        <v/>
      </c>
      <c r="K26" s="7" t="n">
        <v>17</v>
      </c>
      <c r="L26" s="7" t="inlineStr">
        <is>
          <t>AMBER</t>
        </is>
      </c>
    </row>
    <row r="27">
      <c r="A27" s="4" t="inlineStr">
        <is>
          <t>T-23</t>
        </is>
      </c>
      <c r="B27" s="4" t="inlineStr">
        <is>
          <t>Dept 05</t>
        </is>
      </c>
      <c r="C27" s="4" t="inlineStr">
        <is>
          <t>Write step-by-step SOP checklists for recurring processes</t>
        </is>
      </c>
      <c r="D27" s="4" t="inlineStr">
        <is>
          <t>Owner / Manager</t>
        </is>
      </c>
      <c r="E27" s="5" t="n">
        <v>85</v>
      </c>
      <c r="F27" s="4" t="n">
        <v>3</v>
      </c>
      <c r="G27" s="4" t="n">
        <v>45</v>
      </c>
      <c r="H27" s="14">
        <f>ROUND((F27*G27)/60, 2)</f>
        <v/>
      </c>
      <c r="I27" s="15">
        <f>ROUND(H27*52, 1)</f>
        <v/>
      </c>
      <c r="J27" s="5">
        <f>ROUND(I27*E27, 0)</f>
        <v/>
      </c>
      <c r="K27" s="4" t="n">
        <v>18</v>
      </c>
      <c r="L27" s="4" t="inlineStr">
        <is>
          <t>AMBER</t>
        </is>
      </c>
    </row>
    <row r="28">
      <c r="A28" s="7" t="inlineStr">
        <is>
          <t>T-24</t>
        </is>
      </c>
      <c r="B28" s="7" t="inlineStr">
        <is>
          <t>Dept 05</t>
        </is>
      </c>
      <c r="C28" s="7" t="inlineStr">
        <is>
          <t>Answer repetitive staff procedural questions in Slack</t>
        </is>
      </c>
      <c r="D28" s="7" t="inlineStr">
        <is>
          <t>Owner / Manager</t>
        </is>
      </c>
      <c r="E28" s="8" t="n">
        <v>85</v>
      </c>
      <c r="F28" s="7" t="n">
        <v>20</v>
      </c>
      <c r="G28" s="7" t="n">
        <v>6</v>
      </c>
      <c r="H28" s="16">
        <f>ROUND((F28*G28)/60, 2)</f>
        <v/>
      </c>
      <c r="I28" s="17">
        <f>ROUND(H28*52, 1)</f>
        <v/>
      </c>
      <c r="J28" s="8">
        <f>ROUND(I28*E28, 0)</f>
        <v/>
      </c>
      <c r="K28" s="7" t="n">
        <v>18</v>
      </c>
      <c r="L28" s="7" t="inlineStr">
        <is>
          <t>GREEN</t>
        </is>
      </c>
    </row>
    <row r="29">
      <c r="A29" s="4" t="inlineStr">
        <is>
          <t>T-25</t>
        </is>
      </c>
      <c r="B29" s="4" t="inlineStr">
        <is>
          <t>Dept 05</t>
        </is>
      </c>
      <c r="C29" s="4" t="inlineStr">
        <is>
          <t>Pull Friday KPI numbers across 4 apps for weekly review</t>
        </is>
      </c>
      <c r="D29" s="4" t="inlineStr">
        <is>
          <t>Owner / Manager</t>
        </is>
      </c>
      <c r="E29" s="5" t="n">
        <v>85</v>
      </c>
      <c r="F29" s="4" t="n">
        <v>1</v>
      </c>
      <c r="G29" s="4" t="n">
        <v>95</v>
      </c>
      <c r="H29" s="14">
        <f>ROUND((F29*G29)/60, 2)</f>
        <v/>
      </c>
      <c r="I29" s="15">
        <f>ROUND(H29*52, 1)</f>
        <v/>
      </c>
      <c r="J29" s="5">
        <f>ROUND(I29*E29, 0)</f>
        <v/>
      </c>
      <c r="K29" s="4" t="n">
        <v>20</v>
      </c>
      <c r="L29" s="4" t="inlineStr">
        <is>
          <t>GREEN</t>
        </is>
      </c>
    </row>
    <row r="30">
      <c r="A30" s="10" t="inlineStr">
        <is>
          <t>TOTAL</t>
        </is>
      </c>
      <c r="B30" s="10" t="inlineStr">
        <is>
          <t>All 5 Depts</t>
        </is>
      </c>
      <c r="C30" s="10" t="inlineStr">
        <is>
          <t>Total Audited Weekly &amp; Annual Manual Task Friction</t>
        </is>
      </c>
      <c r="D30" s="10" t="inlineStr">
        <is>
          <t>All Staff</t>
        </is>
      </c>
      <c r="E30" s="11">
        <f>ROUND(AVERAGE(E5:E29), 2)</f>
        <v/>
      </c>
      <c r="F30" s="10">
        <f>SUM(F5:F29)</f>
        <v/>
      </c>
      <c r="G30" s="10">
        <f>ROUND(AVERAGE(G5:G29), 1)</f>
        <v/>
      </c>
      <c r="H30" s="18">
        <f>SUM(H5:H29)</f>
        <v/>
      </c>
      <c r="I30" s="19">
        <f>SUM(I5:I29)</f>
        <v/>
      </c>
      <c r="J30" s="12">
        <f>SUM(J5:J29)</f>
        <v/>
      </c>
      <c r="K30" s="10">
        <f>ROUND(AVERAGE(K5:K29), 1)</f>
        <v/>
      </c>
      <c r="L30" s="10" t="inlineStr">
        <is>
          <t>75% GREEN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  <col width="20" customWidth="1" min="5" max="5"/>
    <col width="22" customWidth="1" min="6" max="6"/>
    <col width="26" customWidth="1" min="7" max="7"/>
    <col width="24" customWidth="1" min="8" max="8"/>
    <col width="26" customWidth="1" min="9" max="9"/>
    <col width="31" customWidth="1" min="10" max="10"/>
  </cols>
  <sheetData>
    <row r="1" ht="24" customHeight="1">
      <c r="A1" s="1" t="inlineStr">
        <is>
          <t>TAB 03: 12-MONTH SPEED-TO-LEAD LATENCY &amp; REVENUE RECOVERY MODEL (CHAPTER 3)</t>
        </is>
      </c>
    </row>
    <row r="2" ht="18" customHeight="1">
      <c r="A2" s="2" t="inlineStr">
        <is>
          <t>Quantifying Monthly Revenue Rescued by Compressing Lead Response Time Under 60 Seconds</t>
        </is>
      </c>
    </row>
    <row r="4" ht="24" customHeight="1">
      <c r="A4" s="3" t="inlineStr">
        <is>
          <t>Month</t>
        </is>
      </c>
      <c r="B4" s="3" t="inlineStr">
        <is>
          <t>Inbound Leads</t>
        </is>
      </c>
      <c r="C4" s="3" t="inlineStr">
        <is>
          <t>Delayed &gt;5m (%)</t>
        </is>
      </c>
      <c r="D4" s="3" t="inlineStr">
        <is>
          <t>Delayed Leads (#)</t>
        </is>
      </c>
      <c r="E4" s="3" t="inlineStr">
        <is>
          <t>Baseline Close %</t>
        </is>
      </c>
      <c r="F4" s="3" t="inlineStr">
        <is>
          <t>60s Router Close %</t>
        </is>
      </c>
      <c r="G4" s="3" t="inlineStr">
        <is>
          <t>Avg Customer Value ($)</t>
        </is>
      </c>
      <c r="H4" s="3" t="inlineStr">
        <is>
          <t>Baseline Revenue ($)</t>
        </is>
      </c>
      <c r="I4" s="3" t="inlineStr">
        <is>
          <t>60s Router Revenue ($)</t>
        </is>
      </c>
      <c r="J4" s="3" t="inlineStr">
        <is>
          <t>Monthly Revenue Rescued ($)</t>
        </is>
      </c>
    </row>
    <row r="5">
      <c r="A5" s="4" t="inlineStr">
        <is>
          <t>Month 01</t>
        </is>
      </c>
      <c r="B5" s="4" t="n">
        <v>110</v>
      </c>
      <c r="C5" s="6" t="n">
        <v>0.38</v>
      </c>
      <c r="D5" s="4">
        <f>ROUND(B5*C5, 0)</f>
        <v/>
      </c>
      <c r="E5" s="20" t="n">
        <v>0.14</v>
      </c>
      <c r="F5" s="20" t="n">
        <v>0.22</v>
      </c>
      <c r="G5" s="5" t="n">
        <v>1850</v>
      </c>
      <c r="H5" s="5">
        <f>ROUND(B5*E5*G5, 0)</f>
        <v/>
      </c>
      <c r="I5" s="5">
        <f>ROUND(B5*F5*G5, 0)</f>
        <v/>
      </c>
      <c r="J5" s="5">
        <f>I5-H5</f>
        <v/>
      </c>
    </row>
    <row r="6">
      <c r="A6" s="7" t="inlineStr">
        <is>
          <t>Month 02</t>
        </is>
      </c>
      <c r="B6" s="7" t="n">
        <v>115</v>
      </c>
      <c r="C6" s="9" t="n">
        <v>0.36</v>
      </c>
      <c r="D6" s="7">
        <f>ROUND(B6*C6, 0)</f>
        <v/>
      </c>
      <c r="E6" s="21" t="n">
        <v>0.14</v>
      </c>
      <c r="F6" s="21" t="n">
        <v>0.23</v>
      </c>
      <c r="G6" s="8" t="n">
        <v>1850</v>
      </c>
      <c r="H6" s="8">
        <f>ROUND(B6*E6*G6, 0)</f>
        <v/>
      </c>
      <c r="I6" s="8">
        <f>ROUND(B6*F6*G6, 0)</f>
        <v/>
      </c>
      <c r="J6" s="8">
        <f>I6-H6</f>
        <v/>
      </c>
    </row>
    <row r="7">
      <c r="A7" s="4" t="inlineStr">
        <is>
          <t>Month 03</t>
        </is>
      </c>
      <c r="B7" s="4" t="n">
        <v>120</v>
      </c>
      <c r="C7" s="6" t="n">
        <v>0.35</v>
      </c>
      <c r="D7" s="4">
        <f>ROUND(B7*C7, 0)</f>
        <v/>
      </c>
      <c r="E7" s="20" t="n">
        <v>0.14</v>
      </c>
      <c r="F7" s="20" t="n">
        <v>0.24</v>
      </c>
      <c r="G7" s="5" t="n">
        <v>1850</v>
      </c>
      <c r="H7" s="5">
        <f>ROUND(B7*E7*G7, 0)</f>
        <v/>
      </c>
      <c r="I7" s="5">
        <f>ROUND(B7*F7*G7, 0)</f>
        <v/>
      </c>
      <c r="J7" s="5">
        <f>I7-H7</f>
        <v/>
      </c>
    </row>
    <row r="8">
      <c r="A8" s="7" t="inlineStr">
        <is>
          <t>Month 04</t>
        </is>
      </c>
      <c r="B8" s="7" t="n">
        <v>125</v>
      </c>
      <c r="C8" s="9" t="n">
        <v>0.35</v>
      </c>
      <c r="D8" s="7">
        <f>ROUND(B8*C8, 0)</f>
        <v/>
      </c>
      <c r="E8" s="21" t="n">
        <v>0.14</v>
      </c>
      <c r="F8" s="21" t="n">
        <v>0.24</v>
      </c>
      <c r="G8" s="8" t="n">
        <v>1900</v>
      </c>
      <c r="H8" s="8">
        <f>ROUND(B8*E8*G8, 0)</f>
        <v/>
      </c>
      <c r="I8" s="8">
        <f>ROUND(B8*F8*G8, 0)</f>
        <v/>
      </c>
      <c r="J8" s="8">
        <f>I8-H8</f>
        <v/>
      </c>
    </row>
    <row r="9">
      <c r="A9" s="4" t="inlineStr">
        <is>
          <t>Month 05</t>
        </is>
      </c>
      <c r="B9" s="4" t="n">
        <v>135</v>
      </c>
      <c r="C9" s="6" t="n">
        <v>0.34</v>
      </c>
      <c r="D9" s="4">
        <f>ROUND(B9*C9, 0)</f>
        <v/>
      </c>
      <c r="E9" s="20" t="n">
        <v>0.14</v>
      </c>
      <c r="F9" s="20" t="n">
        <v>0.25</v>
      </c>
      <c r="G9" s="5" t="n">
        <v>1900</v>
      </c>
      <c r="H9" s="5">
        <f>ROUND(B9*E9*G9, 0)</f>
        <v/>
      </c>
      <c r="I9" s="5">
        <f>ROUND(B9*F9*G9, 0)</f>
        <v/>
      </c>
      <c r="J9" s="5">
        <f>I9-H9</f>
        <v/>
      </c>
    </row>
    <row r="10">
      <c r="A10" s="7" t="inlineStr">
        <is>
          <t>Month 06</t>
        </is>
      </c>
      <c r="B10" s="7" t="n">
        <v>140</v>
      </c>
      <c r="C10" s="9" t="n">
        <v>0.34</v>
      </c>
      <c r="D10" s="7">
        <f>ROUND(B10*C10, 0)</f>
        <v/>
      </c>
      <c r="E10" s="21" t="n">
        <v>0.15</v>
      </c>
      <c r="F10" s="21" t="n">
        <v>0.25</v>
      </c>
      <c r="G10" s="8" t="n">
        <v>1900</v>
      </c>
      <c r="H10" s="8">
        <f>ROUND(B10*E10*G10, 0)</f>
        <v/>
      </c>
      <c r="I10" s="8">
        <f>ROUND(B10*F10*G10, 0)</f>
        <v/>
      </c>
      <c r="J10" s="8">
        <f>I10-H10</f>
        <v/>
      </c>
    </row>
    <row r="11">
      <c r="A11" s="4" t="inlineStr">
        <is>
          <t>Month 07</t>
        </is>
      </c>
      <c r="B11" s="4" t="n">
        <v>145</v>
      </c>
      <c r="C11" s="6" t="n">
        <v>0.33</v>
      </c>
      <c r="D11" s="4">
        <f>ROUND(B11*C11, 0)</f>
        <v/>
      </c>
      <c r="E11" s="20" t="n">
        <v>0.15</v>
      </c>
      <c r="F11" s="20" t="n">
        <v>0.26</v>
      </c>
      <c r="G11" s="5" t="n">
        <v>1950</v>
      </c>
      <c r="H11" s="5">
        <f>ROUND(B11*E11*G11, 0)</f>
        <v/>
      </c>
      <c r="I11" s="5">
        <f>ROUND(B11*F11*G11, 0)</f>
        <v/>
      </c>
      <c r="J11" s="5">
        <f>I11-H11</f>
        <v/>
      </c>
    </row>
    <row r="12">
      <c r="A12" s="7" t="inlineStr">
        <is>
          <t>Month 08</t>
        </is>
      </c>
      <c r="B12" s="7" t="n">
        <v>150</v>
      </c>
      <c r="C12" s="9" t="n">
        <v>0.33</v>
      </c>
      <c r="D12" s="7">
        <f>ROUND(B12*C12, 0)</f>
        <v/>
      </c>
      <c r="E12" s="21" t="n">
        <v>0.15</v>
      </c>
      <c r="F12" s="21" t="n">
        <v>0.26</v>
      </c>
      <c r="G12" s="8" t="n">
        <v>1950</v>
      </c>
      <c r="H12" s="8">
        <f>ROUND(B12*E12*G12, 0)</f>
        <v/>
      </c>
      <c r="I12" s="8">
        <f>ROUND(B12*F12*G12, 0)</f>
        <v/>
      </c>
      <c r="J12" s="8">
        <f>I12-H12</f>
        <v/>
      </c>
    </row>
    <row r="13">
      <c r="A13" s="4" t="inlineStr">
        <is>
          <t>Month 09</t>
        </is>
      </c>
      <c r="B13" s="4" t="n">
        <v>155</v>
      </c>
      <c r="C13" s="6" t="n">
        <v>0.32</v>
      </c>
      <c r="D13" s="4">
        <f>ROUND(B13*C13, 0)</f>
        <v/>
      </c>
      <c r="E13" s="20" t="n">
        <v>0.15</v>
      </c>
      <c r="F13" s="20" t="n">
        <v>0.26</v>
      </c>
      <c r="G13" s="5" t="n">
        <v>1950</v>
      </c>
      <c r="H13" s="5">
        <f>ROUND(B13*E13*G13, 0)</f>
        <v/>
      </c>
      <c r="I13" s="5">
        <f>ROUND(B13*F13*G13, 0)</f>
        <v/>
      </c>
      <c r="J13" s="5">
        <f>I13-H13</f>
        <v/>
      </c>
    </row>
    <row r="14">
      <c r="A14" s="7" t="inlineStr">
        <is>
          <t>Month 10</t>
        </is>
      </c>
      <c r="B14" s="7" t="n">
        <v>160</v>
      </c>
      <c r="C14" s="9" t="n">
        <v>0.32</v>
      </c>
      <c r="D14" s="7">
        <f>ROUND(B14*C14, 0)</f>
        <v/>
      </c>
      <c r="E14" s="21" t="n">
        <v>0.15</v>
      </c>
      <c r="F14" s="21" t="n">
        <v>0.27</v>
      </c>
      <c r="G14" s="8" t="n">
        <v>2000</v>
      </c>
      <c r="H14" s="8">
        <f>ROUND(B14*E14*G14, 0)</f>
        <v/>
      </c>
      <c r="I14" s="8">
        <f>ROUND(B14*F14*G14, 0)</f>
        <v/>
      </c>
      <c r="J14" s="8">
        <f>I14-H14</f>
        <v/>
      </c>
    </row>
    <row r="15">
      <c r="A15" s="4" t="inlineStr">
        <is>
          <t>Month 11</t>
        </is>
      </c>
      <c r="B15" s="4" t="n">
        <v>165</v>
      </c>
      <c r="C15" s="6" t="n">
        <v>0.31</v>
      </c>
      <c r="D15" s="4">
        <f>ROUND(B15*C15, 0)</f>
        <v/>
      </c>
      <c r="E15" s="20" t="n">
        <v>0.15</v>
      </c>
      <c r="F15" s="20" t="n">
        <v>0.27</v>
      </c>
      <c r="G15" s="5" t="n">
        <v>2000</v>
      </c>
      <c r="H15" s="5">
        <f>ROUND(B15*E15*G15, 0)</f>
        <v/>
      </c>
      <c r="I15" s="5">
        <f>ROUND(B15*F15*G15, 0)</f>
        <v/>
      </c>
      <c r="J15" s="5">
        <f>I15-H15</f>
        <v/>
      </c>
    </row>
    <row r="16">
      <c r="A16" s="7" t="inlineStr">
        <is>
          <t>Month 12</t>
        </is>
      </c>
      <c r="B16" s="7" t="n">
        <v>175</v>
      </c>
      <c r="C16" s="9" t="n">
        <v>0.3</v>
      </c>
      <c r="D16" s="7">
        <f>ROUND(B16*C16, 0)</f>
        <v/>
      </c>
      <c r="E16" s="21" t="n">
        <v>0.15</v>
      </c>
      <c r="F16" s="21" t="n">
        <v>0.28</v>
      </c>
      <c r="G16" s="8" t="n">
        <v>2000</v>
      </c>
      <c r="H16" s="8">
        <f>ROUND(B16*E16*G16, 0)</f>
        <v/>
      </c>
      <c r="I16" s="8">
        <f>ROUND(B16*F16*G16, 0)</f>
        <v/>
      </c>
      <c r="J16" s="8">
        <f>I16-H16</f>
        <v/>
      </c>
    </row>
    <row r="17">
      <c r="A17" s="10" t="inlineStr">
        <is>
          <t>TOTAL / AVG</t>
        </is>
      </c>
      <c r="B17" s="10">
        <f>SUM(B5:B16)</f>
        <v/>
      </c>
      <c r="C17" s="22">
        <f>AVERAGE(C5:C16)</f>
        <v/>
      </c>
      <c r="D17" s="10">
        <f>SUM(D5:D16)</f>
        <v/>
      </c>
      <c r="E17" s="22">
        <f>AVERAGE(E5:E16)</f>
        <v/>
      </c>
      <c r="F17" s="22">
        <f>AVERAGE(F5:F16)</f>
        <v/>
      </c>
      <c r="G17" s="12">
        <f>ROUND(AVERAGE(G5:G16), 0)</f>
        <v/>
      </c>
      <c r="H17" s="12">
        <f>SUM(H5:H16)</f>
        <v/>
      </c>
      <c r="I17" s="12">
        <f>SUM(I5:I16)</f>
        <v/>
      </c>
      <c r="J17" s="12">
        <f>SUM(J5:J16)</f>
        <v/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26" customWidth="1" min="3" max="3"/>
    <col width="28" customWidth="1" min="4" max="4"/>
    <col width="20" customWidth="1" min="5" max="5"/>
    <col width="23" customWidth="1" min="6" max="6"/>
    <col width="20" customWidth="1" min="7" max="7"/>
    <col width="23" customWidth="1" min="8" max="8"/>
    <col width="22" customWidth="1" min="9" max="9"/>
    <col width="35" customWidth="1" min="10" max="10"/>
  </cols>
  <sheetData>
    <row r="1" ht="24" customHeight="1">
      <c r="A1" s="1" t="inlineStr">
        <is>
          <t>TAB 04: 3-OPTION (GOOD-BETTER-BEST) PROPOSAL &amp; 14-DAY FOLLOW-UP CONVERSION MODEL</t>
        </is>
      </c>
    </row>
    <row r="2" ht="18" customHeight="1">
      <c r="A2" s="2" t="inlineStr">
        <is>
          <t>Deterministic Pricebook Matrix &amp; Conversion Lift from Same-Day Voice-to-Quote + 6-Touch Follow-Up</t>
        </is>
      </c>
    </row>
    <row r="4" ht="24" customHeight="1">
      <c r="A4" s="3" t="inlineStr">
        <is>
          <t>SKU Code</t>
        </is>
      </c>
      <c r="B4" s="3" t="inlineStr">
        <is>
          <t>Service / Package Name</t>
        </is>
      </c>
      <c r="C4" s="3" t="inlineStr">
        <is>
          <t>Option A Essential ($)</t>
        </is>
      </c>
      <c r="D4" s="3" t="inlineStr">
        <is>
          <t>Option B Recommended ($)</t>
        </is>
      </c>
      <c r="E4" s="3" t="inlineStr">
        <is>
          <t>Option C VIP ($)</t>
        </is>
      </c>
      <c r="F4" s="3" t="inlineStr">
        <is>
          <t>Monthly Quotes Sent</t>
        </is>
      </c>
      <c r="G4" s="3" t="inlineStr">
        <is>
          <t>Baseline Close %</t>
        </is>
      </c>
      <c r="H4" s="3" t="inlineStr">
        <is>
          <t>14-Day Loop Close %</t>
        </is>
      </c>
      <c r="I4" s="3" t="inlineStr">
        <is>
          <t>Blended Ticket ($)</t>
        </is>
      </c>
      <c r="J4" s="3" t="inlineStr">
        <is>
          <t>Monthly Incremental Revenue ($)</t>
        </is>
      </c>
    </row>
    <row r="5">
      <c r="A5" s="4" t="inlineStr">
        <is>
          <t>SKU-101</t>
        </is>
      </c>
      <c r="B5" s="4" t="inlineStr">
        <is>
          <t>Residential Diagnostic &amp; Tune-Up Package</t>
        </is>
      </c>
      <c r="C5" s="5" t="n">
        <v>295</v>
      </c>
      <c r="D5" s="5" t="n">
        <v>495</v>
      </c>
      <c r="E5" s="5" t="n">
        <v>795</v>
      </c>
      <c r="F5" s="4" t="n">
        <v>18</v>
      </c>
      <c r="G5" s="6" t="n">
        <v>0.25</v>
      </c>
      <c r="H5" s="6" t="n">
        <v>0.4</v>
      </c>
      <c r="I5" s="5">
        <f>ROUND((C5*0.25)+(D5*0.55)+(E5*0.20), 0)</f>
        <v/>
      </c>
      <c r="J5" s="5">
        <f>ROUND(F5*(H5-G5)*I5, 0)</f>
        <v/>
      </c>
    </row>
    <row r="6">
      <c r="A6" s="7" t="inlineStr">
        <is>
          <t>SKU-102</t>
        </is>
      </c>
      <c r="B6" s="7" t="inlineStr">
        <is>
          <t>System Replacement / Core Installation</t>
        </is>
      </c>
      <c r="C6" s="8" t="n">
        <v>3400</v>
      </c>
      <c r="D6" s="8" t="n">
        <v>4850</v>
      </c>
      <c r="E6" s="8" t="n">
        <v>6900</v>
      </c>
      <c r="F6" s="7" t="n">
        <v>8</v>
      </c>
      <c r="G6" s="9" t="n">
        <v>0.22</v>
      </c>
      <c r="H6" s="9" t="n">
        <v>0.36</v>
      </c>
      <c r="I6" s="8">
        <f>ROUND((C6*0.25)+(D6*0.55)+(E6*0.20), 0)</f>
        <v/>
      </c>
      <c r="J6" s="8">
        <f>ROUND(F6*(H6-G6)*I6, 0)</f>
        <v/>
      </c>
    </row>
    <row r="7">
      <c r="A7" s="4" t="inlineStr">
        <is>
          <t>SKU-103</t>
        </is>
      </c>
      <c r="B7" s="4" t="inlineStr">
        <is>
          <t>Preventive Annual Maintenance Membership</t>
        </is>
      </c>
      <c r="C7" s="5" t="n">
        <v>240</v>
      </c>
      <c r="D7" s="5" t="n">
        <v>390</v>
      </c>
      <c r="E7" s="5" t="n">
        <v>590</v>
      </c>
      <c r="F7" s="4" t="n">
        <v>24</v>
      </c>
      <c r="G7" s="6" t="n">
        <v>0.3</v>
      </c>
      <c r="H7" s="6" t="n">
        <v>0.48</v>
      </c>
      <c r="I7" s="5">
        <f>ROUND((C7*0.25)+(D7*0.55)+(E7*0.20), 0)</f>
        <v/>
      </c>
      <c r="J7" s="5">
        <f>ROUND(F7*(H7-G7)*I7, 0)</f>
        <v/>
      </c>
    </row>
    <row r="8">
      <c r="A8" s="7" t="inlineStr">
        <is>
          <t>SKU-104</t>
        </is>
      </c>
      <c r="B8" s="7" t="inlineStr">
        <is>
          <t>Commercial Quarterly Service Contract</t>
        </is>
      </c>
      <c r="C8" s="8" t="n">
        <v>1450</v>
      </c>
      <c r="D8" s="8" t="n">
        <v>2250</v>
      </c>
      <c r="E8" s="8" t="n">
        <v>3400</v>
      </c>
      <c r="F8" s="7" t="n">
        <v>6</v>
      </c>
      <c r="G8" s="9" t="n">
        <v>0.2</v>
      </c>
      <c r="H8" s="9" t="n">
        <v>0.35</v>
      </c>
      <c r="I8" s="8">
        <f>ROUND((C8*0.25)+(D8*0.55)+(E8*0.20), 0)</f>
        <v/>
      </c>
      <c r="J8" s="8">
        <f>ROUND(F8*(H8-G8)*I8, 0)</f>
        <v/>
      </c>
    </row>
    <row r="9">
      <c r="A9" s="4" t="inlineStr">
        <is>
          <t>SKU-105</t>
        </is>
      </c>
      <c r="B9" s="4" t="inlineStr">
        <is>
          <t>New Client Comprehensive Onboarding Audit</t>
        </is>
      </c>
      <c r="C9" s="5" t="n">
        <v>650</v>
      </c>
      <c r="D9" s="5" t="n">
        <v>1150</v>
      </c>
      <c r="E9" s="5" t="n">
        <v>1850</v>
      </c>
      <c r="F9" s="4" t="n">
        <v>12</v>
      </c>
      <c r="G9" s="6" t="n">
        <v>0.28</v>
      </c>
      <c r="H9" s="6" t="n">
        <v>0.42</v>
      </c>
      <c r="I9" s="5">
        <f>ROUND((C9*0.25)+(D9*0.55)+(E9*0.20), 0)</f>
        <v/>
      </c>
      <c r="J9" s="5">
        <f>ROUND(F9*(H9-G9)*I9, 0)</f>
        <v/>
      </c>
    </row>
    <row r="10">
      <c r="A10" s="7" t="inlineStr">
        <is>
          <t>SKU-106</t>
        </is>
      </c>
      <c r="B10" s="7" t="inlineStr">
        <is>
          <t>Monthly Retainer / Managed Service Tier</t>
        </is>
      </c>
      <c r="C10" s="8" t="n">
        <v>1200</v>
      </c>
      <c r="D10" s="8" t="n">
        <v>1950</v>
      </c>
      <c r="E10" s="8" t="n">
        <v>2950</v>
      </c>
      <c r="F10" s="7" t="n">
        <v>7</v>
      </c>
      <c r="G10" s="9" t="n">
        <v>0.24</v>
      </c>
      <c r="H10" s="9" t="n">
        <v>0.38</v>
      </c>
      <c r="I10" s="8">
        <f>ROUND((C10*0.25)+(D10*0.55)+(E10*0.20), 0)</f>
        <v/>
      </c>
      <c r="J10" s="8">
        <f>ROUND(F10*(H10-G10)*I10, 0)</f>
        <v/>
      </c>
    </row>
    <row r="11">
      <c r="A11" s="4" t="inlineStr">
        <is>
          <t>SKU-107</t>
        </is>
      </c>
      <c r="B11" s="4" t="inlineStr">
        <is>
          <t>Emergency Priority Same-Day Turnkey</t>
        </is>
      </c>
      <c r="C11" s="5" t="n">
        <v>850</v>
      </c>
      <c r="D11" s="5" t="n">
        <v>1350</v>
      </c>
      <c r="E11" s="5" t="n">
        <v>1950</v>
      </c>
      <c r="F11" s="4" t="n">
        <v>9</v>
      </c>
      <c r="G11" s="6" t="n">
        <v>0.35</v>
      </c>
      <c r="H11" s="6" t="n">
        <v>0.52</v>
      </c>
      <c r="I11" s="5">
        <f>ROUND((C11*0.25)+(D11*0.55)+(E11*0.20), 0)</f>
        <v/>
      </c>
      <c r="J11" s="5">
        <f>ROUND(F11*(H11-G11)*I11, 0)</f>
        <v/>
      </c>
    </row>
    <row r="12">
      <c r="A12" s="7" t="inlineStr">
        <is>
          <t>SKU-108</t>
        </is>
      </c>
      <c r="B12" s="7" t="inlineStr">
        <is>
          <t>Multi-Site / Fleet Compliance Package</t>
        </is>
      </c>
      <c r="C12" s="8" t="n">
        <v>2600</v>
      </c>
      <c r="D12" s="8" t="n">
        <v>3900</v>
      </c>
      <c r="E12" s="8" t="n">
        <v>5400</v>
      </c>
      <c r="F12" s="7" t="n">
        <v>4</v>
      </c>
      <c r="G12" s="9" t="n">
        <v>0.18</v>
      </c>
      <c r="H12" s="9" t="n">
        <v>0.32</v>
      </c>
      <c r="I12" s="8">
        <f>ROUND((C12*0.25)+(D12*0.55)+(E12*0.20), 0)</f>
        <v/>
      </c>
      <c r="J12" s="8">
        <f>ROUND(F12*(H12-G12)*I12, 0)</f>
        <v/>
      </c>
    </row>
    <row r="13">
      <c r="A13" s="10" t="inlineStr">
        <is>
          <t>TOTAL / AVG</t>
        </is>
      </c>
      <c r="B13" s="10" t="inlineStr">
        <is>
          <t>Monthly &amp; Annual Proposal Lift Summary</t>
        </is>
      </c>
      <c r="C13" s="12">
        <f>ROUND(AVERAGE(C5:C12), 0)</f>
        <v/>
      </c>
      <c r="D13" s="12">
        <f>ROUND(AVERAGE(D5:D12), 0)</f>
        <v/>
      </c>
      <c r="E13" s="12">
        <f>ROUND(AVERAGE(E5:E12), 0)</f>
        <v/>
      </c>
      <c r="F13" s="10">
        <f>SUM(F5:F12)</f>
        <v/>
      </c>
      <c r="G13" s="22">
        <f>AVERAGE(G5:G12)</f>
        <v/>
      </c>
      <c r="H13" s="22">
        <f>AVERAGE(H5:H12)</f>
        <v/>
      </c>
      <c r="I13" s="12">
        <f>ROUND(AVERAGE(I5:I12), 0)</f>
        <v/>
      </c>
      <c r="J13" s="12">
        <f>SUM(J5:J12)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22" customWidth="1" min="3" max="3"/>
    <col width="23" customWidth="1" min="4" max="4"/>
    <col width="30" customWidth="1" min="5" max="5"/>
    <col width="23" customWidth="1" min="6" max="6"/>
    <col width="19" customWidth="1" min="7" max="7"/>
    <col width="27" customWidth="1" min="8" max="8"/>
    <col width="30" customWidth="1" min="9" max="9"/>
    <col width="27" customWidth="1" min="10" max="10"/>
  </cols>
  <sheetData>
    <row r="1" ht="24" customHeight="1">
      <c r="A1" s="1" t="inlineStr">
        <is>
          <t>TAB 05: 3-TIER SUPPORT DEFLECTION &amp; 60/90/180-DAY DORMANT WIN-BACK MODEL (CH 6 &amp; 7)</t>
        </is>
      </c>
    </row>
    <row r="2" ht="18" customHeight="1">
      <c r="A2" s="2" t="inlineStr">
        <is>
          <t>Labor Savings from Tier-1 RAG Auto-Resolution Plus Repeat Bookings from Sentiment-Gated Recall</t>
        </is>
      </c>
    </row>
    <row r="4" ht="24" customHeight="1">
      <c r="A4" s="3" t="inlineStr">
        <is>
          <t>Category / Cohort ID</t>
        </is>
      </c>
      <c r="B4" s="3" t="inlineStr">
        <is>
          <t>Ticket or Retention Cohort Name</t>
        </is>
      </c>
      <c r="C4" s="3" t="inlineStr">
        <is>
          <t>Monthly Volume (#)</t>
        </is>
      </c>
      <c r="D4" s="3" t="inlineStr">
        <is>
          <t>Mins / Manual Touch</t>
        </is>
      </c>
      <c r="E4" s="3" t="inlineStr">
        <is>
          <t>Auto-Deflect or Win-Back %</t>
        </is>
      </c>
      <c r="F4" s="3" t="inlineStr">
        <is>
          <t>Monthly Hours Saved</t>
        </is>
      </c>
      <c r="G4" s="3" t="inlineStr">
        <is>
          <t>Hourly Rate ($)</t>
        </is>
      </c>
      <c r="H4" s="3" t="inlineStr">
        <is>
          <t>Monthly Labor Saved ($)</t>
        </is>
      </c>
      <c r="I4" s="3" t="inlineStr">
        <is>
          <t>Monthly Repeat Revenue ($)</t>
        </is>
      </c>
      <c r="J4" s="3" t="inlineStr">
        <is>
          <t>Total Monthly Value ($)</t>
        </is>
      </c>
    </row>
    <row r="5">
      <c r="A5" s="4" t="inlineStr">
        <is>
          <t>SUP-01</t>
        </is>
      </c>
      <c r="B5" s="4" t="inlineStr">
        <is>
          <t>Order / Appointment Status (WISMO) Checks</t>
        </is>
      </c>
      <c r="C5" s="4" t="n">
        <v>140</v>
      </c>
      <c r="D5" s="4" t="n">
        <v>6</v>
      </c>
      <c r="E5" s="6" t="n">
        <v>0.82</v>
      </c>
      <c r="F5" s="14">
        <f>ROUND((C5*D5*E5)/60, 2)</f>
        <v/>
      </c>
      <c r="G5" s="5" t="n">
        <v>34</v>
      </c>
      <c r="H5" s="5">
        <f>ROUND(F5*G5, 0)</f>
        <v/>
      </c>
      <c r="I5" s="5" t="n">
        <v>0</v>
      </c>
      <c r="J5" s="5">
        <f>H5+I5</f>
        <v/>
      </c>
    </row>
    <row r="6">
      <c r="A6" s="7" t="inlineStr">
        <is>
          <t>SUP-02</t>
        </is>
      </c>
      <c r="B6" s="7" t="inlineStr">
        <is>
          <t>Operating Hours, Location &amp; Parking FAQs</t>
        </is>
      </c>
      <c r="C6" s="7" t="n">
        <v>85</v>
      </c>
      <c r="D6" s="7" t="n">
        <v>4</v>
      </c>
      <c r="E6" s="9" t="n">
        <v>0.92</v>
      </c>
      <c r="F6" s="16">
        <f>ROUND((C6*D6*E6)/60, 2)</f>
        <v/>
      </c>
      <c r="G6" s="8" t="n">
        <v>34</v>
      </c>
      <c r="H6" s="8">
        <f>ROUND(F6*G6, 0)</f>
        <v/>
      </c>
      <c r="I6" s="8" t="n">
        <v>0</v>
      </c>
      <c r="J6" s="8">
        <f>H6+I6</f>
        <v/>
      </c>
    </row>
    <row r="7">
      <c r="A7" s="4" t="inlineStr">
        <is>
          <t>SUP-03</t>
        </is>
      </c>
      <c r="B7" s="4" t="inlineStr">
        <is>
          <t>Standard Rescheduling &amp; Calendar Changes</t>
        </is>
      </c>
      <c r="C7" s="4" t="n">
        <v>65</v>
      </c>
      <c r="D7" s="4" t="n">
        <v>8</v>
      </c>
      <c r="E7" s="6" t="n">
        <v>0.75</v>
      </c>
      <c r="F7" s="14">
        <f>ROUND((C7*D7*E7)/60, 2)</f>
        <v/>
      </c>
      <c r="G7" s="5" t="n">
        <v>34</v>
      </c>
      <c r="H7" s="5">
        <f>ROUND(F7*G7, 0)</f>
        <v/>
      </c>
      <c r="I7" s="5" t="n">
        <v>0</v>
      </c>
      <c r="J7" s="5">
        <f>H7+I7</f>
        <v/>
      </c>
    </row>
    <row r="8">
      <c r="A8" s="7" t="inlineStr">
        <is>
          <t>SUP-04</t>
        </is>
      </c>
      <c r="B8" s="7" t="inlineStr">
        <is>
          <t>Warranty, Return Policy &amp; Preparation FAQs</t>
        </is>
      </c>
      <c r="C8" s="7" t="n">
        <v>70</v>
      </c>
      <c r="D8" s="7" t="n">
        <v>7</v>
      </c>
      <c r="E8" s="9" t="n">
        <v>0.7</v>
      </c>
      <c r="F8" s="16">
        <f>ROUND((C8*D8*E8)/60, 2)</f>
        <v/>
      </c>
      <c r="G8" s="8" t="n">
        <v>38</v>
      </c>
      <c r="H8" s="8">
        <f>ROUND(F8*G8, 0)</f>
        <v/>
      </c>
      <c r="I8" s="8" t="n">
        <v>0</v>
      </c>
      <c r="J8" s="8">
        <f>H8+I8</f>
        <v/>
      </c>
    </row>
    <row r="9">
      <c r="A9" s="4" t="inlineStr">
        <is>
          <t>SUP-05</t>
        </is>
      </c>
      <c r="B9" s="4" t="inlineStr">
        <is>
          <t>Invoice Copy &amp; Receipt Lookup Requests</t>
        </is>
      </c>
      <c r="C9" s="4" t="n">
        <v>45</v>
      </c>
      <c r="D9" s="4" t="n">
        <v>6</v>
      </c>
      <c r="E9" s="6" t="n">
        <v>0.85</v>
      </c>
      <c r="F9" s="14">
        <f>ROUND((C9*D9*E9)/60, 2)</f>
        <v/>
      </c>
      <c r="G9" s="5" t="n">
        <v>38</v>
      </c>
      <c r="H9" s="5">
        <f>ROUND(F9*G9, 0)</f>
        <v/>
      </c>
      <c r="I9" s="5" t="n">
        <v>0</v>
      </c>
      <c r="J9" s="5">
        <f>H9+I9</f>
        <v/>
      </c>
    </row>
    <row r="10">
      <c r="A10" s="7" t="inlineStr">
        <is>
          <t>RET-01</t>
        </is>
      </c>
      <c r="B10" s="7" t="inlineStr">
        <is>
          <t>60-Day Post-Visit Consumable / Check-In Cohort</t>
        </is>
      </c>
      <c r="C10" s="7" t="n">
        <v>90</v>
      </c>
      <c r="D10" s="7" t="n">
        <v>5</v>
      </c>
      <c r="E10" s="9" t="n">
        <v>0.14</v>
      </c>
      <c r="F10" s="16">
        <f>ROUND((C10*D10*E10)/60, 2)</f>
        <v/>
      </c>
      <c r="G10" s="8" t="n">
        <v>38</v>
      </c>
      <c r="H10" s="8">
        <f>ROUND(F10*G10, 0)</f>
        <v/>
      </c>
      <c r="I10" s="8" t="n">
        <v>4200</v>
      </c>
      <c r="J10" s="8">
        <f>H10+I10</f>
        <v/>
      </c>
    </row>
    <row r="11">
      <c r="A11" s="4" t="inlineStr">
        <is>
          <t>RET-02</t>
        </is>
      </c>
      <c r="B11" s="4" t="inlineStr">
        <is>
          <t>90-Day Seasonal Tune-Up / Recall Cohort</t>
        </is>
      </c>
      <c r="C11" s="4" t="n">
        <v>110</v>
      </c>
      <c r="D11" s="4" t="n">
        <v>5</v>
      </c>
      <c r="E11" s="6" t="n">
        <v>0.16</v>
      </c>
      <c r="F11" s="14">
        <f>ROUND((C11*D11*E11)/60, 2)</f>
        <v/>
      </c>
      <c r="G11" s="5" t="n">
        <v>38</v>
      </c>
      <c r="H11" s="5">
        <f>ROUND(F11*G11, 0)</f>
        <v/>
      </c>
      <c r="I11" s="5" t="n">
        <v>6800</v>
      </c>
      <c r="J11" s="5">
        <f>H11+I11</f>
        <v/>
      </c>
    </row>
    <row r="12">
      <c r="A12" s="7" t="inlineStr">
        <is>
          <t>RET-03</t>
        </is>
      </c>
      <c r="B12" s="7" t="inlineStr">
        <is>
          <t>180-Day Semi-Annual Hygiene / Service Cohort</t>
        </is>
      </c>
      <c r="C12" s="7" t="n">
        <v>130</v>
      </c>
      <c r="D12" s="7" t="n">
        <v>5</v>
      </c>
      <c r="E12" s="9" t="n">
        <v>0.18</v>
      </c>
      <c r="F12" s="16">
        <f>ROUND((C12*D12*E12)/60, 2)</f>
        <v/>
      </c>
      <c r="G12" s="8" t="n">
        <v>38</v>
      </c>
      <c r="H12" s="8">
        <f>ROUND(F12*G12, 0)</f>
        <v/>
      </c>
      <c r="I12" s="8" t="n">
        <v>9400</v>
      </c>
      <c r="J12" s="8">
        <f>H12+I12</f>
        <v/>
      </c>
    </row>
    <row r="13">
      <c r="A13" s="10" t="inlineStr">
        <is>
          <t>TOTAL</t>
        </is>
      </c>
      <c r="B13" s="10" t="inlineStr">
        <is>
          <t>Combined Monthly Support &amp; Retention Value</t>
        </is>
      </c>
      <c r="C13" s="10">
        <f>SUM(C5:C12)</f>
        <v/>
      </c>
      <c r="D13" s="10">
        <f>ROUND(AVERAGE(D5:D12), 1)</f>
        <v/>
      </c>
      <c r="E13" s="22">
        <f>AVERAGE(E5:E12)</f>
        <v/>
      </c>
      <c r="F13" s="18">
        <f>SUM(F5:F12)</f>
        <v/>
      </c>
      <c r="G13" s="12">
        <f>ROUND(AVERAGE(G5:G12), 0)</f>
        <v/>
      </c>
      <c r="H13" s="12">
        <f>SUM(H5:H12)</f>
        <v/>
      </c>
      <c r="I13" s="12">
        <f>SUM(I5:I12)</f>
        <v/>
      </c>
      <c r="J13" s="12">
        <f>SUM(J5:J12)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4" customWidth="1" min="3" max="3"/>
    <col width="19" customWidth="1" min="4" max="4"/>
    <col width="28" customWidth="1" min="5" max="5"/>
    <col width="19" customWidth="1" min="6" max="6"/>
    <col width="22" customWidth="1" min="7" max="7"/>
    <col width="26" customWidth="1" min="8" max="8"/>
    <col width="29" customWidth="1" min="9" max="9"/>
    <col width="19" customWidth="1" min="10" max="10"/>
  </cols>
  <sheetData>
    <row r="1" ht="24" customHeight="1">
      <c r="A1" s="1" t="inlineStr">
        <is>
          <t>TAB 06: AUTOMATED INVOICING, 5-STAGE AR CHASER &amp; DSO WORKING CAPITAL MODEL (CHAPTER 8)</t>
        </is>
      </c>
    </row>
    <row r="2" ht="18" customHeight="1">
      <c r="A2" s="2" t="inlineStr">
        <is>
          <t>Tracking Cash Collection Velocity Across All 5 Polite-to-Firm Payment Reminder Stages</t>
        </is>
      </c>
    </row>
    <row r="4" ht="24" customHeight="1">
      <c r="A4" s="3" t="inlineStr">
        <is>
          <t>AR Stage</t>
        </is>
      </c>
      <c r="B4" s="3" t="inlineStr">
        <is>
          <t>Chaser Timing &amp; Trigger</t>
        </is>
      </c>
      <c r="C4" s="3" t="inlineStr">
        <is>
          <t>Monthly Invoices (#)</t>
        </is>
      </c>
      <c r="D4" s="3" t="inlineStr">
        <is>
          <t>Avg Invoice ($)</t>
        </is>
      </c>
      <c r="E4" s="3" t="inlineStr">
        <is>
          <t>Total Stage Exposure ($)</t>
        </is>
      </c>
      <c r="F4" s="3" t="inlineStr">
        <is>
          <t>Recovery Rate %</t>
        </is>
      </c>
      <c r="G4" s="3" t="inlineStr">
        <is>
          <t>Cash Collected ($)</t>
        </is>
      </c>
      <c r="H4" s="3" t="inlineStr">
        <is>
          <t>Days Saved vs Baseline</t>
        </is>
      </c>
      <c r="I4" s="3" t="inlineStr">
        <is>
          <t>Working Capital Freed ($)</t>
        </is>
      </c>
      <c r="J4" s="3" t="inlineStr">
        <is>
          <t>Governance Gate</t>
        </is>
      </c>
    </row>
    <row r="5">
      <c r="A5" s="4" t="inlineStr">
        <is>
          <t>STAGE-0</t>
        </is>
      </c>
      <c r="B5" s="4" t="inlineStr">
        <is>
          <t>Same-Day Job Completion Invoice + 1-Click Link</t>
        </is>
      </c>
      <c r="C5" s="4" t="n">
        <v>85</v>
      </c>
      <c r="D5" s="5" t="n">
        <v>1450</v>
      </c>
      <c r="E5" s="5">
        <f>C5*D5</f>
        <v/>
      </c>
      <c r="F5" s="6" t="n">
        <v>0.62</v>
      </c>
      <c r="G5" s="5">
        <f>ROUND(E5*F5, 0)</f>
        <v/>
      </c>
      <c r="H5" s="4" t="n">
        <v>18</v>
      </c>
      <c r="I5" s="5">
        <f>ROUND((G5*H5)/365, 0)</f>
        <v/>
      </c>
      <c r="J5" s="4" t="inlineStr">
        <is>
          <t>GREEN</t>
        </is>
      </c>
    </row>
    <row r="6">
      <c r="A6" s="7" t="inlineStr">
        <is>
          <t>STAGE-1</t>
        </is>
      </c>
      <c r="B6" s="7" t="inlineStr">
        <is>
          <t>Day -3 Pre-Due Courtesy Reminder</t>
        </is>
      </c>
      <c r="C6" s="7" t="n">
        <v>32</v>
      </c>
      <c r="D6" s="8" t="n">
        <v>1450</v>
      </c>
      <c r="E6" s="8">
        <f>C6*D6</f>
        <v/>
      </c>
      <c r="F6" s="9" t="n">
        <v>0.48</v>
      </c>
      <c r="G6" s="8">
        <f>ROUND(E6*F6, 0)</f>
        <v/>
      </c>
      <c r="H6" s="7" t="n">
        <v>14</v>
      </c>
      <c r="I6" s="8">
        <f>ROUND((G6*H6)/365, 0)</f>
        <v/>
      </c>
      <c r="J6" s="7" t="inlineStr">
        <is>
          <t>GREEN</t>
        </is>
      </c>
    </row>
    <row r="7">
      <c r="A7" s="4" t="inlineStr">
        <is>
          <t>STAGE-2</t>
        </is>
      </c>
      <c r="B7" s="4" t="inlineStr">
        <is>
          <t>Day +1 Past-Due Helpful Check-In</t>
        </is>
      </c>
      <c r="C7" s="4" t="n">
        <v>17</v>
      </c>
      <c r="D7" s="5" t="n">
        <v>1450</v>
      </c>
      <c r="E7" s="5">
        <f>C7*D7</f>
        <v/>
      </c>
      <c r="F7" s="6" t="n">
        <v>0.55</v>
      </c>
      <c r="G7" s="5">
        <f>ROUND(E7*F7, 0)</f>
        <v/>
      </c>
      <c r="H7" s="4" t="n">
        <v>21</v>
      </c>
      <c r="I7" s="5">
        <f>ROUND((G7*H7)/365, 0)</f>
        <v/>
      </c>
      <c r="J7" s="4" t="inlineStr">
        <is>
          <t>GREEN</t>
        </is>
      </c>
    </row>
    <row r="8">
      <c r="A8" s="7" t="inlineStr">
        <is>
          <t>STAGE-3</t>
        </is>
      </c>
      <c r="B8" s="7" t="inlineStr">
        <is>
          <t>Day +7 Past-Due Second Notice + Copy</t>
        </is>
      </c>
      <c r="C8" s="7" t="n">
        <v>8</v>
      </c>
      <c r="D8" s="8" t="n">
        <v>1450</v>
      </c>
      <c r="E8" s="8">
        <f>C8*D8</f>
        <v/>
      </c>
      <c r="F8" s="9" t="n">
        <v>0.6</v>
      </c>
      <c r="G8" s="8">
        <f>ROUND(E8*F8, 0)</f>
        <v/>
      </c>
      <c r="H8" s="7" t="n">
        <v>25</v>
      </c>
      <c r="I8" s="8">
        <f>ROUND((G8*H8)/365, 0)</f>
        <v/>
      </c>
      <c r="J8" s="7" t="inlineStr">
        <is>
          <t>GREEN</t>
        </is>
      </c>
    </row>
    <row r="9">
      <c r="A9" s="4" t="inlineStr">
        <is>
          <t>STAGE-4</t>
        </is>
      </c>
      <c r="B9" s="4" t="inlineStr">
        <is>
          <t>Day +15 Firm Executive Notice + Late Fee Warning</t>
        </is>
      </c>
      <c r="C9" s="4" t="n">
        <v>3</v>
      </c>
      <c r="D9" s="5" t="n">
        <v>1450</v>
      </c>
      <c r="E9" s="5">
        <f>C9*D9</f>
        <v/>
      </c>
      <c r="F9" s="6" t="n">
        <v>0.67</v>
      </c>
      <c r="G9" s="5">
        <f>ROUND(E9*F9, 0)</f>
        <v/>
      </c>
      <c r="H9" s="4" t="n">
        <v>28</v>
      </c>
      <c r="I9" s="5">
        <f>ROUND((G9*H9)/365, 0)</f>
        <v/>
      </c>
      <c r="J9" s="4" t="inlineStr">
        <is>
          <t>AMBER</t>
        </is>
      </c>
    </row>
    <row r="10">
      <c r="A10" s="7" t="inlineStr">
        <is>
          <t>STAGE-5</t>
        </is>
      </c>
      <c r="B10" s="7" t="inlineStr">
        <is>
          <t>Day +30 Final Demand &amp; Human Call Brief</t>
        </is>
      </c>
      <c r="C10" s="7" t="n">
        <v>1</v>
      </c>
      <c r="D10" s="8" t="n">
        <v>1450</v>
      </c>
      <c r="E10" s="8">
        <f>C10*D10</f>
        <v/>
      </c>
      <c r="F10" s="9" t="n">
        <v>0.8</v>
      </c>
      <c r="G10" s="8">
        <f>ROUND(E10*F10, 0)</f>
        <v/>
      </c>
      <c r="H10" s="7" t="n">
        <v>30</v>
      </c>
      <c r="I10" s="8">
        <f>ROUND((G10*H10)/365, 0)</f>
        <v/>
      </c>
      <c r="J10" s="7" t="inlineStr">
        <is>
          <t>RED</t>
        </is>
      </c>
    </row>
    <row r="11">
      <c r="A11" s="10" t="inlineStr">
        <is>
          <t>TOTAL</t>
        </is>
      </c>
      <c r="B11" s="10" t="inlineStr">
        <is>
          <t>Monthly Automated Billing &amp; AR Recovery Summary</t>
        </is>
      </c>
      <c r="C11" s="10">
        <f>SUM(C5:C10)</f>
        <v/>
      </c>
      <c r="D11" s="12">
        <f>ROUND(AVERAGE(D5:D10), 0)</f>
        <v/>
      </c>
      <c r="E11" s="12">
        <f>SUM(E5:E10)</f>
        <v/>
      </c>
      <c r="F11" s="22">
        <f>AVERAGE(F5:F10)</f>
        <v/>
      </c>
      <c r="G11" s="12">
        <f>SUM(G5:G10)</f>
        <v/>
      </c>
      <c r="H11" s="10">
        <f>ROUND(AVERAGE(H5:H10), 1)</f>
        <v/>
      </c>
      <c r="I11" s="12">
        <f>SUM(I5:I10)</f>
        <v/>
      </c>
      <c r="J11" s="10" t="inlineStr">
        <is>
          <t>4G / 1A / 1R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1" customWidth="1" min="3" max="3"/>
    <col width="20" customWidth="1" min="4" max="4"/>
    <col width="20" customWidth="1" min="5" max="5"/>
    <col width="22" customWidth="1" min="6" max="6"/>
    <col width="29" customWidth="1" min="7" max="7"/>
    <col width="20" customWidth="1" min="8" max="8"/>
    <col width="18" customWidth="1" min="9" max="9"/>
    <col width="20" customWidth="1" min="10" max="10"/>
    <col width="26" customWidth="1" min="11" max="11"/>
    <col width="17" customWidth="1" min="12" max="12"/>
  </cols>
  <sheetData>
    <row r="1" ht="24" customHeight="1">
      <c r="A1" s="1" t="inlineStr">
        <is>
          <t>TAB 07: 16-WEEK LONGITUDINAL FRIDAY 3:00 PM OWNER SCORECARD (CHAPTER 10)</t>
        </is>
      </c>
    </row>
    <row r="2" ht="18" customHeight="1">
      <c r="A2" s="2" t="inlineStr">
        <is>
          <t>Weekly Tracking of Core KPIs Across All 5 Departments with Dynamic =IF() RAG Status Formulas</t>
        </is>
      </c>
    </row>
    <row r="4" ht="24" customHeight="1">
      <c r="A4" s="3" t="inlineStr">
        <is>
          <t>Week #</t>
        </is>
      </c>
      <c r="B4" s="3" t="inlineStr">
        <is>
          <t>Qualified Leads</t>
        </is>
      </c>
      <c r="C4" s="3" t="inlineStr">
        <is>
          <t>Speed-to-Lead (s)</t>
        </is>
      </c>
      <c r="D4" s="3" t="inlineStr">
        <is>
          <t>14d Close Rate %</t>
        </is>
      </c>
      <c r="E4" s="3" t="inlineStr">
        <is>
          <t>Tier-1 Support %</t>
        </is>
      </c>
      <c r="F4" s="3" t="inlineStr">
        <is>
          <t>New 5-Star Reviews</t>
        </is>
      </c>
      <c r="G4" s="3" t="inlineStr">
        <is>
          <t>Weekly Cash Collected ($)</t>
        </is>
      </c>
      <c r="H4" s="3" t="inlineStr">
        <is>
          <t>Overdue &gt;15d ($)</t>
        </is>
      </c>
      <c r="I4" s="3" t="inlineStr">
        <is>
          <t>Avg DSO (Days)</t>
        </is>
      </c>
      <c r="J4" s="3" t="inlineStr">
        <is>
          <t>Team Hours Saved</t>
        </is>
      </c>
      <c r="K4" s="3" t="inlineStr">
        <is>
          <t>Weekly Labor Value ($)</t>
        </is>
      </c>
      <c r="L4" s="3" t="inlineStr">
        <is>
          <t>Scorecard RAG</t>
        </is>
      </c>
    </row>
    <row r="5">
      <c r="A5" s="4" t="inlineStr">
        <is>
          <t>Week 01</t>
        </is>
      </c>
      <c r="B5" s="4" t="n">
        <v>23</v>
      </c>
      <c r="C5" s="4" t="n">
        <v>91</v>
      </c>
      <c r="D5" s="20" t="n">
        <v>0.25</v>
      </c>
      <c r="E5" s="20" t="n">
        <v>0.494</v>
      </c>
      <c r="F5" s="4" t="n">
        <v>2</v>
      </c>
      <c r="G5" s="5" t="n">
        <v>24950</v>
      </c>
      <c r="H5" s="5" t="n">
        <v>9250</v>
      </c>
      <c r="I5" s="4" t="n">
        <v>36.4</v>
      </c>
      <c r="J5" s="4" t="n">
        <v>9.1</v>
      </c>
      <c r="K5" s="5">
        <f>ROUND(J5*58, 0)</f>
        <v/>
      </c>
      <c r="L5" s="4">
        <f>IF(AND(C5&lt;=60,I5&lt;=18,J5&gt;=15),"GREEN",IF(C5&lt;=90,"AMBER","RED"))</f>
        <v/>
      </c>
    </row>
    <row r="6">
      <c r="A6" s="7" t="inlineStr">
        <is>
          <t>Week 02</t>
        </is>
      </c>
      <c r="B6" s="7" t="n">
        <v>24</v>
      </c>
      <c r="C6" s="7" t="n">
        <v>87</v>
      </c>
      <c r="D6" s="21" t="n">
        <v>0.26</v>
      </c>
      <c r="E6" s="21" t="n">
        <v>0.508</v>
      </c>
      <c r="F6" s="7" t="n">
        <v>2</v>
      </c>
      <c r="G6" s="8" t="n">
        <v>25900</v>
      </c>
      <c r="H6" s="8" t="n">
        <v>8700</v>
      </c>
      <c r="I6" s="7" t="n">
        <v>34.8</v>
      </c>
      <c r="J6" s="7" t="n">
        <v>10.1</v>
      </c>
      <c r="K6" s="8">
        <f>ROUND(J6*58, 0)</f>
        <v/>
      </c>
      <c r="L6" s="7">
        <f>IF(AND(C6&lt;=60,I6&lt;=18,J6&gt;=15),"GREEN",IF(C6&lt;=90,"AMBER","RED"))</f>
        <v/>
      </c>
    </row>
    <row r="7">
      <c r="A7" s="4" t="inlineStr">
        <is>
          <t>Week 03</t>
        </is>
      </c>
      <c r="B7" s="4" t="n">
        <v>25</v>
      </c>
      <c r="C7" s="4" t="n">
        <v>83</v>
      </c>
      <c r="D7" s="20" t="n">
        <v>0.27</v>
      </c>
      <c r="E7" s="20" t="n">
        <v>0.522</v>
      </c>
      <c r="F7" s="4" t="n">
        <v>2</v>
      </c>
      <c r="G7" s="5" t="n">
        <v>26850</v>
      </c>
      <c r="H7" s="5" t="n">
        <v>8150</v>
      </c>
      <c r="I7" s="4" t="n">
        <v>33.2</v>
      </c>
      <c r="J7" s="4" t="n">
        <v>11.2</v>
      </c>
      <c r="K7" s="5">
        <f>ROUND(J7*58, 0)</f>
        <v/>
      </c>
      <c r="L7" s="4">
        <f>IF(AND(C7&lt;=60,I7&lt;=18,J7&gt;=15),"GREEN",IF(C7&lt;=90,"AMBER","RED"))</f>
        <v/>
      </c>
    </row>
    <row r="8">
      <c r="A8" s="7" t="inlineStr">
        <is>
          <t>Week 04</t>
        </is>
      </c>
      <c r="B8" s="7" t="n">
        <v>26</v>
      </c>
      <c r="C8" s="7" t="n">
        <v>79</v>
      </c>
      <c r="D8" s="21" t="n">
        <v>0.28</v>
      </c>
      <c r="E8" s="21" t="n">
        <v>0.536</v>
      </c>
      <c r="F8" s="7" t="n">
        <v>2</v>
      </c>
      <c r="G8" s="8" t="n">
        <v>27800</v>
      </c>
      <c r="H8" s="8" t="n">
        <v>7600</v>
      </c>
      <c r="I8" s="7" t="n">
        <v>31.6</v>
      </c>
      <c r="J8" s="7" t="n">
        <v>12.2</v>
      </c>
      <c r="K8" s="8">
        <f>ROUND(J8*58, 0)</f>
        <v/>
      </c>
      <c r="L8" s="7">
        <f>IF(AND(C8&lt;=60,I8&lt;=18,J8&gt;=15),"GREEN",IF(C8&lt;=90,"AMBER","RED"))</f>
        <v/>
      </c>
    </row>
    <row r="9">
      <c r="A9" s="4" t="inlineStr">
        <is>
          <t>Week 05</t>
        </is>
      </c>
      <c r="B9" s="4" t="n">
        <v>27</v>
      </c>
      <c r="C9" s="4" t="n">
        <v>75</v>
      </c>
      <c r="D9" s="20" t="n">
        <v>0.29</v>
      </c>
      <c r="E9" s="20" t="n">
        <v>0.55</v>
      </c>
      <c r="F9" s="4" t="n">
        <v>4</v>
      </c>
      <c r="G9" s="5" t="n">
        <v>28750</v>
      </c>
      <c r="H9" s="5" t="n">
        <v>7050</v>
      </c>
      <c r="I9" s="4" t="n">
        <v>30</v>
      </c>
      <c r="J9" s="4" t="n">
        <v>13.2</v>
      </c>
      <c r="K9" s="5">
        <f>ROUND(J9*58, 0)</f>
        <v/>
      </c>
      <c r="L9" s="4">
        <f>IF(AND(C9&lt;=60,I9&lt;=18,J9&gt;=15),"GREEN",IF(C9&lt;=90,"AMBER","RED"))</f>
        <v/>
      </c>
    </row>
    <row r="10">
      <c r="A10" s="7" t="inlineStr">
        <is>
          <t>Week 06</t>
        </is>
      </c>
      <c r="B10" s="7" t="n">
        <v>28</v>
      </c>
      <c r="C10" s="7" t="n">
        <v>71</v>
      </c>
      <c r="D10" s="21" t="n">
        <v>0.3</v>
      </c>
      <c r="E10" s="21" t="n">
        <v>0.5639999999999999</v>
      </c>
      <c r="F10" s="7" t="n">
        <v>4</v>
      </c>
      <c r="G10" s="8" t="n">
        <v>29700</v>
      </c>
      <c r="H10" s="8" t="n">
        <v>6500</v>
      </c>
      <c r="I10" s="7" t="n">
        <v>28.4</v>
      </c>
      <c r="J10" s="7" t="n">
        <v>14.3</v>
      </c>
      <c r="K10" s="8">
        <f>ROUND(J10*58, 0)</f>
        <v/>
      </c>
      <c r="L10" s="7">
        <f>IF(AND(C10&lt;=60,I10&lt;=18,J10&gt;=15),"GREEN",IF(C10&lt;=90,"AMBER","RED"))</f>
        <v/>
      </c>
    </row>
    <row r="11">
      <c r="A11" s="4" t="inlineStr">
        <is>
          <t>Week 07</t>
        </is>
      </c>
      <c r="B11" s="4" t="n">
        <v>29</v>
      </c>
      <c r="C11" s="4" t="n">
        <v>67</v>
      </c>
      <c r="D11" s="20" t="n">
        <v>0.31</v>
      </c>
      <c r="E11" s="20" t="n">
        <v>0.578</v>
      </c>
      <c r="F11" s="4" t="n">
        <v>4</v>
      </c>
      <c r="G11" s="5" t="n">
        <v>30650</v>
      </c>
      <c r="H11" s="5" t="n">
        <v>5950</v>
      </c>
      <c r="I11" s="4" t="n">
        <v>26.8</v>
      </c>
      <c r="J11" s="4" t="n">
        <v>15.4</v>
      </c>
      <c r="K11" s="5">
        <f>ROUND(J11*58, 0)</f>
        <v/>
      </c>
      <c r="L11" s="4">
        <f>IF(AND(C11&lt;=60,I11&lt;=18,J11&gt;=15),"GREEN",IF(C11&lt;=90,"AMBER","RED"))</f>
        <v/>
      </c>
    </row>
    <row r="12">
      <c r="A12" s="7" t="inlineStr">
        <is>
          <t>Week 08</t>
        </is>
      </c>
      <c r="B12" s="7" t="n">
        <v>30</v>
      </c>
      <c r="C12" s="7" t="n">
        <v>63</v>
      </c>
      <c r="D12" s="21" t="n">
        <v>0.32</v>
      </c>
      <c r="E12" s="21" t="n">
        <v>0.592</v>
      </c>
      <c r="F12" s="7" t="n">
        <v>4</v>
      </c>
      <c r="G12" s="8" t="n">
        <v>31600</v>
      </c>
      <c r="H12" s="8" t="n">
        <v>5400</v>
      </c>
      <c r="I12" s="7" t="n">
        <v>25.2</v>
      </c>
      <c r="J12" s="7" t="n">
        <v>16.4</v>
      </c>
      <c r="K12" s="8">
        <f>ROUND(J12*58, 0)</f>
        <v/>
      </c>
      <c r="L12" s="7">
        <f>IF(AND(C12&lt;=60,I12&lt;=18,J12&gt;=15),"GREEN",IF(C12&lt;=90,"AMBER","RED"))</f>
        <v/>
      </c>
    </row>
    <row r="13">
      <c r="A13" s="4" t="inlineStr">
        <is>
          <t>Week 09</t>
        </is>
      </c>
      <c r="B13" s="4" t="n">
        <v>31</v>
      </c>
      <c r="C13" s="4" t="n">
        <v>59</v>
      </c>
      <c r="D13" s="20" t="n">
        <v>0.33</v>
      </c>
      <c r="E13" s="20" t="n">
        <v>0.606</v>
      </c>
      <c r="F13" s="4" t="n">
        <v>4</v>
      </c>
      <c r="G13" s="5" t="n">
        <v>32550</v>
      </c>
      <c r="H13" s="5" t="n">
        <v>4850</v>
      </c>
      <c r="I13" s="4" t="n">
        <v>23.6</v>
      </c>
      <c r="J13" s="4" t="n">
        <v>17.5</v>
      </c>
      <c r="K13" s="5">
        <f>ROUND(J13*58, 0)</f>
        <v/>
      </c>
      <c r="L13" s="4">
        <f>IF(AND(C13&lt;=60,I13&lt;=18,J13&gt;=15),"GREEN",IF(C13&lt;=90,"AMBER","RED"))</f>
        <v/>
      </c>
    </row>
    <row r="14">
      <c r="A14" s="7" t="inlineStr">
        <is>
          <t>Week 10</t>
        </is>
      </c>
      <c r="B14" s="7" t="n">
        <v>32</v>
      </c>
      <c r="C14" s="7" t="n">
        <v>55</v>
      </c>
      <c r="D14" s="21" t="n">
        <v>0.34</v>
      </c>
      <c r="E14" s="21" t="n">
        <v>0.62</v>
      </c>
      <c r="F14" s="7" t="n">
        <v>4</v>
      </c>
      <c r="G14" s="8" t="n">
        <v>33500</v>
      </c>
      <c r="H14" s="8" t="n">
        <v>4300</v>
      </c>
      <c r="I14" s="7" t="n">
        <v>22</v>
      </c>
      <c r="J14" s="7" t="n">
        <v>18.5</v>
      </c>
      <c r="K14" s="8">
        <f>ROUND(J14*58, 0)</f>
        <v/>
      </c>
      <c r="L14" s="7">
        <f>IF(AND(C14&lt;=60,I14&lt;=18,J14&gt;=15),"GREEN",IF(C14&lt;=90,"AMBER","RED"))</f>
        <v/>
      </c>
    </row>
    <row r="15">
      <c r="A15" s="4" t="inlineStr">
        <is>
          <t>Week 11</t>
        </is>
      </c>
      <c r="B15" s="4" t="n">
        <v>33</v>
      </c>
      <c r="C15" s="4" t="n">
        <v>51</v>
      </c>
      <c r="D15" s="20" t="n">
        <v>0.35</v>
      </c>
      <c r="E15" s="20" t="n">
        <v>0.634</v>
      </c>
      <c r="F15" s="4" t="n">
        <v>5</v>
      </c>
      <c r="G15" s="5" t="n">
        <v>34450</v>
      </c>
      <c r="H15" s="5" t="n">
        <v>3750</v>
      </c>
      <c r="I15" s="4" t="n">
        <v>20.4</v>
      </c>
      <c r="J15" s="4" t="n">
        <v>19.6</v>
      </c>
      <c r="K15" s="5">
        <f>ROUND(J15*58, 0)</f>
        <v/>
      </c>
      <c r="L15" s="4">
        <f>IF(AND(C15&lt;=60,I15&lt;=18,J15&gt;=15),"GREEN",IF(C15&lt;=90,"AMBER","RED"))</f>
        <v/>
      </c>
    </row>
    <row r="16">
      <c r="A16" s="7" t="inlineStr">
        <is>
          <t>Week 12</t>
        </is>
      </c>
      <c r="B16" s="7" t="n">
        <v>34</v>
      </c>
      <c r="C16" s="7" t="n">
        <v>47</v>
      </c>
      <c r="D16" s="21" t="n">
        <v>0.36</v>
      </c>
      <c r="E16" s="21" t="n">
        <v>0.648</v>
      </c>
      <c r="F16" s="7" t="n">
        <v>5</v>
      </c>
      <c r="G16" s="8" t="n">
        <v>35400</v>
      </c>
      <c r="H16" s="8" t="n">
        <v>3200</v>
      </c>
      <c r="I16" s="7" t="n">
        <v>18.8</v>
      </c>
      <c r="J16" s="7" t="n">
        <v>20.6</v>
      </c>
      <c r="K16" s="8">
        <f>ROUND(J16*58, 0)</f>
        <v/>
      </c>
      <c r="L16" s="7">
        <f>IF(AND(C16&lt;=60,I16&lt;=18,J16&gt;=15),"GREEN",IF(C16&lt;=90,"AMBER","RED"))</f>
        <v/>
      </c>
    </row>
    <row r="17">
      <c r="A17" s="4" t="inlineStr">
        <is>
          <t>Week 13</t>
        </is>
      </c>
      <c r="B17" s="4" t="n">
        <v>35</v>
      </c>
      <c r="C17" s="4" t="n">
        <v>43</v>
      </c>
      <c r="D17" s="20" t="n">
        <v>0.37</v>
      </c>
      <c r="E17" s="20" t="n">
        <v>0.662</v>
      </c>
      <c r="F17" s="4" t="n">
        <v>5</v>
      </c>
      <c r="G17" s="5" t="n">
        <v>36350</v>
      </c>
      <c r="H17" s="5" t="n">
        <v>2650</v>
      </c>
      <c r="I17" s="4" t="n">
        <v>17.2</v>
      </c>
      <c r="J17" s="4" t="n">
        <v>21.6</v>
      </c>
      <c r="K17" s="5">
        <f>ROUND(J17*58, 0)</f>
        <v/>
      </c>
      <c r="L17" s="4">
        <f>IF(AND(C17&lt;=60,I17&lt;=18,J17&gt;=15),"GREEN",IF(C17&lt;=90,"AMBER","RED"))</f>
        <v/>
      </c>
    </row>
    <row r="18">
      <c r="A18" s="7" t="inlineStr">
        <is>
          <t>Week 14</t>
        </is>
      </c>
      <c r="B18" s="7" t="n">
        <v>36</v>
      </c>
      <c r="C18" s="7" t="n">
        <v>39</v>
      </c>
      <c r="D18" s="21" t="n">
        <v>0.38</v>
      </c>
      <c r="E18" s="21" t="n">
        <v>0.676</v>
      </c>
      <c r="F18" s="7" t="n">
        <v>5</v>
      </c>
      <c r="G18" s="8" t="n">
        <v>37300</v>
      </c>
      <c r="H18" s="8" t="n">
        <v>2100</v>
      </c>
      <c r="I18" s="7" t="n">
        <v>15.6</v>
      </c>
      <c r="J18" s="7" t="n">
        <v>22.7</v>
      </c>
      <c r="K18" s="8">
        <f>ROUND(J18*58, 0)</f>
        <v/>
      </c>
      <c r="L18" s="7">
        <f>IF(AND(C18&lt;=60,I18&lt;=18,J18&gt;=15),"GREEN",IF(C18&lt;=90,"AMBER","RED"))</f>
        <v/>
      </c>
    </row>
    <row r="19">
      <c r="A19" s="4" t="inlineStr">
        <is>
          <t>Week 15</t>
        </is>
      </c>
      <c r="B19" s="4" t="n">
        <v>37</v>
      </c>
      <c r="C19" s="4" t="n">
        <v>35</v>
      </c>
      <c r="D19" s="20" t="n">
        <v>0.39</v>
      </c>
      <c r="E19" s="20" t="n">
        <v>0.6899999999999999</v>
      </c>
      <c r="F19" s="4" t="n">
        <v>5</v>
      </c>
      <c r="G19" s="5" t="n">
        <v>38250</v>
      </c>
      <c r="H19" s="5" t="n">
        <v>1550</v>
      </c>
      <c r="I19" s="4" t="n">
        <v>14</v>
      </c>
      <c r="J19" s="4" t="n">
        <v>23.8</v>
      </c>
      <c r="K19" s="5">
        <f>ROUND(J19*58, 0)</f>
        <v/>
      </c>
      <c r="L19" s="4">
        <f>IF(AND(C19&lt;=60,I19&lt;=18,J19&gt;=15),"GREEN",IF(C19&lt;=90,"AMBER","RED"))</f>
        <v/>
      </c>
    </row>
    <row r="20">
      <c r="A20" s="7" t="inlineStr">
        <is>
          <t>Week 16</t>
        </is>
      </c>
      <c r="B20" s="7" t="n">
        <v>38</v>
      </c>
      <c r="C20" s="7" t="n">
        <v>32</v>
      </c>
      <c r="D20" s="21" t="n">
        <v>0.4</v>
      </c>
      <c r="E20" s="21" t="n">
        <v>0.704</v>
      </c>
      <c r="F20" s="7" t="n">
        <v>5</v>
      </c>
      <c r="G20" s="8" t="n">
        <v>39200</v>
      </c>
      <c r="H20" s="8" t="n">
        <v>1150</v>
      </c>
      <c r="I20" s="7" t="n">
        <v>12.5</v>
      </c>
      <c r="J20" s="7" t="n">
        <v>24.8</v>
      </c>
      <c r="K20" s="8">
        <f>ROUND(J20*58, 0)</f>
        <v/>
      </c>
      <c r="L20" s="7">
        <f>IF(AND(C20&lt;=60,I20&lt;=18,J20&gt;=15),"GREEN",IF(C20&lt;=90,"AMBER","RED"))</f>
        <v/>
      </c>
    </row>
    <row r="21">
      <c r="A21" s="4" t="inlineStr">
        <is>
          <t>16-WK TOTAL/AVG</t>
        </is>
      </c>
      <c r="B21" s="4">
        <f>SUM(B5:B20)</f>
        <v/>
      </c>
      <c r="C21" s="4">
        <f>ROUND(AVERAGE(C5:C20), 1)</f>
        <v/>
      </c>
      <c r="D21" s="20">
        <f>AVERAGE(D5:D20)</f>
        <v/>
      </c>
      <c r="E21" s="20">
        <f>AVERAGE(E5:E20)</f>
        <v/>
      </c>
      <c r="F21" s="4">
        <f>SUM(F5:F20)</f>
        <v/>
      </c>
      <c r="G21" s="5">
        <f>SUM(G5:G20)</f>
        <v/>
      </c>
      <c r="H21" s="5">
        <f>ROUND(AVERAGE(H5:H20), 0)</f>
        <v/>
      </c>
      <c r="I21" s="4">
        <f>ROUND(AVERAGE(I5:I20), 1)</f>
        <v/>
      </c>
      <c r="J21" s="15">
        <f>SUM(J5:J20)</f>
        <v/>
      </c>
      <c r="K21" s="5">
        <f>SUM(K5:K20)</f>
        <v/>
      </c>
      <c r="L21" s="4">
        <f>IF(C21&lt;=60,"GREEN","AMBER")</f>
        <v/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8" customWidth="1" min="3" max="3"/>
    <col width="24" customWidth="1" min="4" max="4"/>
    <col width="22" customWidth="1" min="5" max="5"/>
    <col width="27" customWidth="1" min="6" max="6"/>
    <col width="29" customWidth="1" min="7" max="7"/>
    <col width="24" customWidth="1" min="8" max="8"/>
    <col width="22" customWidth="1" min="9" max="9"/>
    <col width="26" customWidth="1" min="10" max="10"/>
  </cols>
  <sheetData>
    <row r="1" ht="24" customHeight="1">
      <c r="A1" s="1" t="inlineStr">
        <is>
          <t>TAB 08: 90-DAY (12-WEEK) PHASED ROLLOUT SCHEDULE, TOOL BUDGET &amp; CUMULATIVE PAYBACK</t>
        </is>
      </c>
    </row>
    <row r="2" ht="18" customHeight="1">
      <c r="A2" s="2" t="inlineStr">
        <is>
          <t>Week-by-Week Implementation Effort vs. Cumulative Financial Return Across Sprints 1, 2, and 3</t>
        </is>
      </c>
    </row>
    <row r="4" ht="24" customHeight="1">
      <c r="A4" s="3" t="inlineStr">
        <is>
          <t>Rollout Week</t>
        </is>
      </c>
      <c r="B4" s="3" t="inlineStr">
        <is>
          <t>Sprint Phase</t>
        </is>
      </c>
      <c r="C4" s="3" t="inlineStr">
        <is>
          <t>Primary Milestone &amp; Chapter Deployed</t>
        </is>
      </c>
      <c r="D4" s="3" t="inlineStr">
        <is>
          <t>Setup Hours Invested</t>
        </is>
      </c>
      <c r="E4" s="3" t="inlineStr">
        <is>
          <t>Weekly Hours Saved</t>
        </is>
      </c>
      <c r="F4" s="3" t="inlineStr">
        <is>
          <t>Net Weekly Hours Gained</t>
        </is>
      </c>
      <c r="G4" s="3" t="inlineStr">
        <is>
          <t>Weekly Financial Gain ($)</t>
        </is>
      </c>
      <c r="H4" s="3" t="inlineStr">
        <is>
          <t>Weekly Tool Cost ($)</t>
        </is>
      </c>
      <c r="I4" s="3" t="inlineStr">
        <is>
          <t>Net Weekly ROI ($)</t>
        </is>
      </c>
      <c r="J4" s="3" t="inlineStr">
        <is>
          <t>Cumulative Net ROI ($)</t>
        </is>
      </c>
    </row>
    <row r="5">
      <c r="A5" s="4" t="inlineStr">
        <is>
          <t>Week 01</t>
        </is>
      </c>
      <c r="B5" s="4" t="inlineStr">
        <is>
          <t>Sprint 1 (Days 1-30)</t>
        </is>
      </c>
      <c r="C5" s="4" t="inlineStr">
        <is>
          <t>Ch 1: 5-Day CMF Audit &amp; P.A.C.E. Priority Matrix</t>
        </is>
      </c>
      <c r="D5" s="4" t="n">
        <v>4</v>
      </c>
      <c r="E5" s="4" t="n">
        <v>3</v>
      </c>
      <c r="F5" s="4">
        <f>E5-D5</f>
        <v/>
      </c>
      <c r="G5" s="5" t="n">
        <v>260</v>
      </c>
      <c r="H5" s="5" t="n">
        <v>28</v>
      </c>
      <c r="I5" s="5">
        <f>G5-H5</f>
        <v/>
      </c>
      <c r="J5" s="5">
        <f>I5</f>
        <v/>
      </c>
    </row>
    <row r="6">
      <c r="A6" s="7" t="inlineStr">
        <is>
          <t>Week 02</t>
        </is>
      </c>
      <c r="B6" s="7" t="inlineStr">
        <is>
          <t>Sprint 1 (Days 1-30)</t>
        </is>
      </c>
      <c r="C6" s="7" t="inlineStr">
        <is>
          <t>Ch 2: T.R.A.V. Safety Gate, Truth Tables &amp; Kill Switches</t>
        </is>
      </c>
      <c r="D6" s="7" t="n">
        <v>3.5</v>
      </c>
      <c r="E6" s="7" t="n">
        <v>5.5</v>
      </c>
      <c r="F6" s="7">
        <f>E6-D6</f>
        <v/>
      </c>
      <c r="G6" s="8" t="n">
        <v>480</v>
      </c>
      <c r="H6" s="8" t="n">
        <v>28</v>
      </c>
      <c r="I6" s="8">
        <f>G6-H6</f>
        <v/>
      </c>
      <c r="J6" s="8">
        <f>J5+I6</f>
        <v/>
      </c>
    </row>
    <row r="7">
      <c r="A7" s="4" t="inlineStr">
        <is>
          <t>Week 03</t>
        </is>
      </c>
      <c r="B7" s="4" t="inlineStr">
        <is>
          <t>Sprint 1 (Days 1-30)</t>
        </is>
      </c>
      <c r="C7" s="4" t="inlineStr">
        <is>
          <t>Ch 3: 60-Second Web &amp; Social Speed-to-Lead Router</t>
        </is>
      </c>
      <c r="D7" s="4" t="n">
        <v>4</v>
      </c>
      <c r="E7" s="4" t="n">
        <v>9.5</v>
      </c>
      <c r="F7" s="4">
        <f>E7-D7</f>
        <v/>
      </c>
      <c r="G7" s="5" t="n">
        <v>1650</v>
      </c>
      <c r="H7" s="5" t="n">
        <v>32</v>
      </c>
      <c r="I7" s="5">
        <f>G7-H7</f>
        <v/>
      </c>
      <c r="J7" s="5">
        <f>J6+I7</f>
        <v/>
      </c>
    </row>
    <row r="8">
      <c r="A8" s="7" t="inlineStr">
        <is>
          <t>Week 04</t>
        </is>
      </c>
      <c r="B8" s="7" t="inlineStr">
        <is>
          <t>Sprint 1 (Days 1-30)</t>
        </is>
      </c>
      <c r="C8" s="7" t="inlineStr">
        <is>
          <t>Ch 3: Missed-Call Text-Back &amp; Pre-Call Rep Briefs</t>
        </is>
      </c>
      <c r="D8" s="7" t="n">
        <v>2.5</v>
      </c>
      <c r="E8" s="7" t="n">
        <v>12</v>
      </c>
      <c r="F8" s="7">
        <f>E8-D8</f>
        <v/>
      </c>
      <c r="G8" s="8" t="n">
        <v>2250</v>
      </c>
      <c r="H8" s="8" t="n">
        <v>32</v>
      </c>
      <c r="I8" s="8">
        <f>G8-H8</f>
        <v/>
      </c>
      <c r="J8" s="8">
        <f>J7+I8</f>
        <v/>
      </c>
    </row>
    <row r="9">
      <c r="A9" s="4" t="inlineStr">
        <is>
          <t>Week 05</t>
        </is>
      </c>
      <c r="B9" s="4" t="inlineStr">
        <is>
          <t>Sprint 2 (Days 31-60)</t>
        </is>
      </c>
      <c r="C9" s="4" t="inlineStr">
        <is>
          <t>Ch 4: Voice-to-3-Tier Good-Better-Best Proposal Engine</t>
        </is>
      </c>
      <c r="D9" s="4" t="n">
        <v>3.5</v>
      </c>
      <c r="E9" s="4" t="n">
        <v>15</v>
      </c>
      <c r="F9" s="4">
        <f>E9-D9</f>
        <v/>
      </c>
      <c r="G9" s="5" t="n">
        <v>2850</v>
      </c>
      <c r="H9" s="5" t="n">
        <v>35</v>
      </c>
      <c r="I9" s="5">
        <f>G9-H9</f>
        <v/>
      </c>
      <c r="J9" s="5">
        <f>J8+I9</f>
        <v/>
      </c>
    </row>
    <row r="10">
      <c r="A10" s="7" t="inlineStr">
        <is>
          <t>Week 06</t>
        </is>
      </c>
      <c r="B10" s="7" t="inlineStr">
        <is>
          <t>Sprint 2 (Days 31-60)</t>
        </is>
      </c>
      <c r="C10" s="7" t="inlineStr">
        <is>
          <t>Ch 4: 14-Day 6-Touch Polite-Persistence Follow-Up Loop</t>
        </is>
      </c>
      <c r="D10" s="7" t="n">
        <v>2</v>
      </c>
      <c r="E10" s="7" t="n">
        <v>17.5</v>
      </c>
      <c r="F10" s="7">
        <f>E10-D10</f>
        <v/>
      </c>
      <c r="G10" s="8" t="n">
        <v>3300</v>
      </c>
      <c r="H10" s="8" t="n">
        <v>35</v>
      </c>
      <c r="I10" s="8">
        <f>G10-H10</f>
        <v/>
      </c>
      <c r="J10" s="8">
        <f>J9+I10</f>
        <v/>
      </c>
    </row>
    <row r="11">
      <c r="A11" s="4" t="inlineStr">
        <is>
          <t>Week 07</t>
        </is>
      </c>
      <c r="B11" s="4" t="inlineStr">
        <is>
          <t>Sprint 2 (Days 31-60)</t>
        </is>
      </c>
      <c r="C11" s="4" t="inlineStr">
        <is>
          <t>Ch 5: Zero-Drop Payment-to-Onboarding Provisioner</t>
        </is>
      </c>
      <c r="D11" s="4" t="n">
        <v>3</v>
      </c>
      <c r="E11" s="4" t="n">
        <v>19.5</v>
      </c>
      <c r="F11" s="4">
        <f>E11-D11</f>
        <v/>
      </c>
      <c r="G11" s="5" t="n">
        <v>3650</v>
      </c>
      <c r="H11" s="5" t="n">
        <v>35</v>
      </c>
      <c r="I11" s="5">
        <f>G11-H11</f>
        <v/>
      </c>
      <c r="J11" s="5">
        <f>J10+I11</f>
        <v/>
      </c>
    </row>
    <row r="12">
      <c r="A12" s="7" t="inlineStr">
        <is>
          <t>Week 08</t>
        </is>
      </c>
      <c r="B12" s="7" t="inlineStr">
        <is>
          <t>Sprint 2 (Days 31-60)</t>
        </is>
      </c>
      <c r="C12" s="7" t="inlineStr">
        <is>
          <t>Ch 6 &amp; 7: 3-Tier Support Shield &amp; 5-Star Review Gate</t>
        </is>
      </c>
      <c r="D12" s="7" t="n">
        <v>3.5</v>
      </c>
      <c r="E12" s="7" t="n">
        <v>22</v>
      </c>
      <c r="F12" s="7">
        <f>E12-D12</f>
        <v/>
      </c>
      <c r="G12" s="8" t="n">
        <v>4150</v>
      </c>
      <c r="H12" s="8" t="n">
        <v>38</v>
      </c>
      <c r="I12" s="8">
        <f>G12-H12</f>
        <v/>
      </c>
      <c r="J12" s="8">
        <f>J11+I12</f>
        <v/>
      </c>
    </row>
    <row r="13">
      <c r="A13" s="4" t="inlineStr">
        <is>
          <t>Week 09</t>
        </is>
      </c>
      <c r="B13" s="4" t="inlineStr">
        <is>
          <t>Sprint 3 (Days 61-90)</t>
        </is>
      </c>
      <c r="C13" s="4" t="inlineStr">
        <is>
          <t>Ch 8: Same-Day Milestone Invoicing &amp; 5-Stage AR Chasers</t>
        </is>
      </c>
      <c r="D13" s="4" t="n">
        <v>3</v>
      </c>
      <c r="E13" s="4" t="n">
        <v>24</v>
      </c>
      <c r="F13" s="4">
        <f>E13-D13</f>
        <v/>
      </c>
      <c r="G13" s="5" t="n">
        <v>4650</v>
      </c>
      <c r="H13" s="5" t="n">
        <v>38</v>
      </c>
      <c r="I13" s="5">
        <f>G13-H13</f>
        <v/>
      </c>
      <c r="J13" s="5">
        <f>J12+I13</f>
        <v/>
      </c>
    </row>
    <row r="14">
      <c r="A14" s="7" t="inlineStr">
        <is>
          <t>Week 10</t>
        </is>
      </c>
      <c r="B14" s="7" t="inlineStr">
        <is>
          <t>Sprint 3 (Days 61-90)</t>
        </is>
      </c>
      <c r="C14" s="7" t="inlineStr">
        <is>
          <t>Ch 8: Supplier Bill OCR &amp; 5% Price-Creep Guard</t>
        </is>
      </c>
      <c r="D14" s="7" t="n">
        <v>2</v>
      </c>
      <c r="E14" s="7" t="n">
        <v>25.5</v>
      </c>
      <c r="F14" s="7">
        <f>E14-D14</f>
        <v/>
      </c>
      <c r="G14" s="8" t="n">
        <v>4950</v>
      </c>
      <c r="H14" s="8" t="n">
        <v>38</v>
      </c>
      <c r="I14" s="8">
        <f>G14-H14</f>
        <v/>
      </c>
      <c r="J14" s="8">
        <f>J13+I14</f>
        <v/>
      </c>
    </row>
    <row r="15">
      <c r="A15" s="4" t="inlineStr">
        <is>
          <t>Week 11</t>
        </is>
      </c>
      <c r="B15" s="4" t="inlineStr">
        <is>
          <t>Sprint 3 (Days 61-90)</t>
        </is>
      </c>
      <c r="C15" s="4" t="inlineStr">
        <is>
          <t>Ch 9: 7-Block Living SOP Vault &amp; Ask-the-SOP Slack Bot</t>
        </is>
      </c>
      <c r="D15" s="4" t="n">
        <v>2.5</v>
      </c>
      <c r="E15" s="4" t="n">
        <v>27</v>
      </c>
      <c r="F15" s="4">
        <f>E15-D15</f>
        <v/>
      </c>
      <c r="G15" s="5" t="n">
        <v>5250</v>
      </c>
      <c r="H15" s="5" t="n">
        <v>38</v>
      </c>
      <c r="I15" s="5">
        <f>G15-H15</f>
        <v/>
      </c>
      <c r="J15" s="5">
        <f>J14+I15</f>
        <v/>
      </c>
    </row>
    <row r="16">
      <c r="A16" s="7" t="inlineStr">
        <is>
          <t>Week 12</t>
        </is>
      </c>
      <c r="B16" s="7" t="inlineStr">
        <is>
          <t>Sprint 3 (Days 61-90)</t>
        </is>
      </c>
      <c r="C16" s="7" t="inlineStr">
        <is>
          <t>Ch 10: Friday 3:00 PM 12-KPI Scorecard &amp; Security Lock</t>
        </is>
      </c>
      <c r="D16" s="7" t="n">
        <v>1.5</v>
      </c>
      <c r="E16" s="7" t="n">
        <v>28.5</v>
      </c>
      <c r="F16" s="7">
        <f>E16-D16</f>
        <v/>
      </c>
      <c r="G16" s="8" t="n">
        <v>5600</v>
      </c>
      <c r="H16" s="8" t="n">
        <v>38</v>
      </c>
      <c r="I16" s="8">
        <f>G16-H16</f>
        <v/>
      </c>
      <c r="J16" s="8">
        <f>J15+I16</f>
        <v/>
      </c>
    </row>
    <row r="17">
      <c r="A17" s="4" t="inlineStr">
        <is>
          <t>90-DAY TOTAL</t>
        </is>
      </c>
      <c r="B17" s="4" t="inlineStr">
        <is>
          <t>All 3 Sprints</t>
        </is>
      </c>
      <c r="C17" s="4" t="inlineStr">
        <is>
          <t>Complete 90-Day Operating System Rollout Summary</t>
        </is>
      </c>
      <c r="D17" s="4">
        <f>SUM(D5:D16)</f>
        <v/>
      </c>
      <c r="E17" s="4">
        <f>SUM(E5:E16)</f>
        <v/>
      </c>
      <c r="F17" s="4">
        <f>SUM(F5:F16)</f>
        <v/>
      </c>
      <c r="G17" s="5">
        <f>SUM(G5:G16)</f>
        <v/>
      </c>
      <c r="H17" s="5">
        <f>SUM(H5:H16)</f>
        <v/>
      </c>
      <c r="I17" s="5">
        <f>SUM(I5:I16)</f>
        <v/>
      </c>
      <c r="J17" s="5">
        <f>J16</f>
        <v/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2026-10-22T18:47:36Z</dcterms:created>
  <dcterms:modified xmlns:dcterms="http://purl.org/dc/terms/" xmlns:xsi="http://www.w3.org/2001/XMLSchema-instance" xsi:type="dcterms:W3CDTF">2026-10-22T18:47:36Z</dcterms:modified>
</cp:coreProperties>
</file>